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Mode d'emploi" sheetId="1" r:id="rId1"/>
    <sheet name="Tableau de bord" sheetId="2" r:id="rId2"/>
    <sheet name="Anomalies" sheetId="3" r:id="rId3"/>
    <sheet name="Suivi des echanges" sheetId="4" r:id="rId4"/>
  </sheets>
</workbook>
</file>

<file path=xl/styles.xml><?xml version="1.0" encoding="utf-8"?>
<styleSheet xmlns="http://schemas.openxmlformats.org/spreadsheetml/2006/main">
  <numFmts count="1">
    <numFmt numFmtId="164" formatCode="dd/mm/yyyy"/>
  </numFmts>
  <fonts count="16">
    <font>
      <sz val="11"/>
      <name val="Calibri"/>
    </font>
    <font>
      <b/>
      <sz val="11"/>
      <color rgb="FFFFFFFF"/>
      <name val="Calibri"/>
    </font>
    <font>
      <b/>
      <sz val="11"/>
      <color rgb="FF1F1F1F"/>
      <name val="Calibri"/>
    </font>
    <font>
      <b/>
      <sz val="20"/>
      <color rgb="FF1F4E79"/>
      <name val="Calibri"/>
    </font>
    <font>
      <b/>
      <sz val="13"/>
      <color rgb="FF1F4E79"/>
      <name val="Calibri"/>
    </font>
    <font>
      <b/>
      <sz val="11"/>
      <color rgb="FFFFFFFF"/>
      <name val="Calibri"/>
    </font>
    <font>
      <i/>
      <sz val="10"/>
      <color rgb="FF666666"/>
      <name val="Calibri"/>
    </font>
    <font>
      <b/>
      <sz val="28"/>
      <color rgb="FF1F4E79"/>
      <name val="Calibri"/>
    </font>
    <font>
      <b/>
      <sz val="11"/>
      <color rgb="FF1F4E79"/>
      <name val="Calibri"/>
    </font>
    <font>
      <b/>
      <sz val="28"/>
      <color rgb="FFCC0000"/>
      <name val="Calibri"/>
    </font>
    <font>
      <b/>
      <sz val="11"/>
      <color rgb="FFFFFFFF"/>
      <name val="Calibri"/>
    </font>
    <font>
      <b/>
      <sz val="16"/>
      <color rgb="FFFFFFFF"/>
      <name val="Calibri"/>
    </font>
    <font>
      <b/>
      <sz val="9"/>
      <color rgb="FF990000"/>
      <name val="Calibri"/>
    </font>
    <font>
      <b/>
      <sz val="9"/>
      <color rgb="FFB45F06"/>
      <name val="Calibri"/>
    </font>
    <font>
      <b/>
      <sz val="9"/>
      <color rgb="FF1155CC"/>
      <name val="Calibri"/>
    </font>
    <font>
      <b/>
      <sz val="11"/>
      <color rgb="FFFFFFFF"/>
      <name val="Calibri"/>
    </font>
  </fonts>
  <fills count="23">
    <fill>
      <patternFill patternType="none"/>
    </fill>
    <fill>
      <patternFill patternType="gray125"/>
    </fill>
    <fill>
      <patternFill patternType="solid">
        <fgColor rgb="FF1F4E79"/>
        <bgColor indexed="64"/>
      </patternFill>
    </fill>
    <fill>
      <patternFill patternType="solid">
        <fgColor rgb="FFC65911"/>
        <bgColor indexed="64"/>
      </patternFill>
    </fill>
    <fill>
      <patternFill patternType="solid">
        <fgColor rgb="FFDCE6F1"/>
        <bgColor indexed="64"/>
      </patternFill>
    </fill>
    <fill>
      <patternFill patternType="solid">
        <fgColor rgb="FFFCE4D6"/>
        <bgColor indexed="64"/>
      </patternFill>
    </fill>
    <fill>
      <patternFill patternType="solid">
        <fgColor rgb="FF548235"/>
        <bgColor indexed="64"/>
      </patternFill>
    </fill>
    <fill>
      <patternFill patternType="solid">
        <fgColor rgb="FFF4CCCC"/>
        <bgColor indexed="64"/>
      </patternFill>
    </fill>
    <fill>
      <patternFill patternType="solid">
        <fgColor rgb="FF2E4A6B"/>
        <bgColor indexed="64"/>
      </patternFill>
    </fill>
    <fill>
      <patternFill patternType="solid">
        <fgColor rgb="FFD9E2F3"/>
        <bgColor indexed="64"/>
      </patternFill>
    </fill>
    <fill>
      <patternFill patternType="solid">
        <fgColor rgb="FFDCE6F1"/>
      </patternFill>
    </fill>
    <fill>
      <patternFill patternType="solid">
        <fgColor rgb="FFF8CBAD"/>
      </patternFill>
    </fill>
    <fill>
      <patternFill patternType="solid">
        <fgColor rgb="FFD9EAD3"/>
      </patternFill>
    </fill>
    <fill>
      <patternFill patternType="solid">
        <fgColor rgb="FFE0E0E0"/>
      </patternFill>
    </fill>
    <fill>
      <patternFill patternType="solid">
        <fgColor rgb="FFFFF2CC"/>
      </patternFill>
    </fill>
    <fill>
      <patternFill patternType="solid">
        <fgColor rgb="FFD9D2E9"/>
      </patternFill>
    </fill>
    <fill>
      <patternFill patternType="solid">
        <fgColor rgb="FFCC0000"/>
      </patternFill>
    </fill>
    <fill>
      <patternFill patternType="solid">
        <fgColor rgb="FFF6B26B"/>
      </patternFill>
    </fill>
    <fill>
      <patternFill patternType="solid">
        <fgColor rgb="FFFFE599"/>
      </patternFill>
    </fill>
    <fill>
      <patternFill patternType="solid">
        <fgColor rgb="FFCCCCCC"/>
      </patternFill>
    </fill>
    <fill>
      <patternFill patternType="solid">
        <fgColor rgb="FFEA9999"/>
      </patternFill>
    </fill>
    <fill>
      <patternFill patternType="solid">
        <fgColor rgb="FFFCE5CD"/>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applyFont="1" applyFill="1" applyBorder="1"/>
    <xf numFmtId="0" fontId="1" fillId="2" borderId="1" xfId="0" applyFont="1" applyFill="1" applyBorder="1" applyAlignment="1">
      <alignment horizontal="center" vertical="center" wrapText="1"/>
    </xf>
    <xf numFmtId="0" fontId="0" fillId="0" borderId="1" xfId="0" applyFont="1" applyFill="1" applyBorder="1" applyAlignment="1">
      <alignment vertical="top" wrapText="1"/>
    </xf>
    <xf numFmtId="0" fontId="3" fillId="0" borderId="0" xfId="0" applyFont="1" applyFill="1" applyBorder="1"/>
    <xf numFmtId="0" fontId="4" fillId="0" borderId="0" xfId="0" applyFont="1" applyFill="1" applyBorder="1"/>
    <xf numFmtId="0" fontId="0" fillId="0" borderId="0" xfId="0" applyFont="1" applyFill="1" applyBorder="1" applyAlignment="1">
      <alignment vertical="top" wrapText="1"/>
    </xf>
    <xf numFmtId="0" fontId="5" fillId="3" borderId="1" xfId="0" applyFont="1" applyFill="1" applyBorder="1" applyAlignment="1">
      <alignment horizontal="center" vertical="center" wrapText="1"/>
    </xf>
    <xf numFmtId="0" fontId="0" fillId="4" borderId="1" xfId="0" applyFont="1" applyFill="1" applyBorder="1" applyAlignment="1">
      <alignment vertical="top" wrapText="1"/>
    </xf>
    <xf numFmtId="164" fontId="0" fillId="4" borderId="1" xfId="0" applyFont="1" applyFill="1" applyBorder="1" applyNumFmt="1" applyAlignment="1">
      <alignment vertical="top" wrapText="1"/>
    </xf>
    <xf numFmtId="0" fontId="2" fillId="5" borderId="1" xfId="0" applyFont="1" applyFill="1" applyBorder="1" applyAlignment="1">
      <alignment vertical="top" wrapText="1"/>
    </xf>
    <xf numFmtId="0" fontId="0" fillId="0" borderId="1" xfId="0" applyFont="1" applyFill="1" applyBorder="1" applyAlignment="1">
      <alignment horizontal="center" vertical="top" wrapText="1"/>
    </xf>
    <xf numFmtId="0" fontId="1" fillId="3" borderId="1" xfId="0" applyFont="1" applyFill="1" applyBorder="1" applyAlignment="1">
      <alignment horizontal="center" vertical="center" wrapText="1"/>
    </xf>
    <xf numFmtId="164" fontId="0" fillId="0" borderId="1" xfId="0" applyFont="1" applyFill="1" applyBorder="1" applyNumFmt="1" applyAlignment="1">
      <alignment horizontal="center" vertical="top" wrapText="1"/>
    </xf>
    <xf numFmtId="0" fontId="2" fillId="0" borderId="0" xfId="0" applyFont="1" applyFill="1" applyBorder="1"/>
    <xf numFmtId="0" fontId="11" fillId="8" borderId="0" xfId="0" applyFont="1" applyFill="1" applyBorder="1" applyAlignment="1">
      <alignment horizontal="left" vertical="center"/>
    </xf>
    <xf numFmtId="0" fontId="8"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0" fillId="9"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0" fillId="0" borderId="1" xfId="0" applyFont="1" applyFill="1" applyBorder="1" applyAlignment="1">
      <alignment vertical="center" wrapText="1"/>
    </xf>
    <xf numFmtId="0" fontId="6" fillId="0" borderId="0" xfId="0" applyFont="1" applyFill="1" applyBorder="1" applyAlignment="1">
      <alignment vertical="top" wrapText="1"/>
    </xf>
  </cellXfs>
  <dxfs count="13">
    <dxf>
      <fill>
        <patternFill>
          <bgColor rgb="FFDCE6F1"/>
        </patternFill>
      </fill>
    </dxf>
    <dxf>
      <fill>
        <patternFill>
          <bgColor rgb="FFF8CBAD"/>
        </patternFill>
      </fill>
    </dxf>
    <dxf>
      <fill>
        <patternFill>
          <bgColor rgb="FFD9EAD3"/>
        </patternFill>
      </fill>
    </dxf>
    <dxf>
      <fill>
        <patternFill>
          <bgColor rgb="FFE0E0E0"/>
        </patternFill>
      </fill>
    </dxf>
    <dxf>
      <fill>
        <patternFill>
          <bgColor rgb="FFFFF2CC"/>
        </patternFill>
      </fill>
    </dxf>
    <dxf>
      <fill>
        <patternFill>
          <bgColor rgb="FFD9D2E9"/>
        </patternFill>
      </fill>
    </dxf>
    <dxf>
      <font>
        <b/>
        <color rgb="FFFFFFFF"/>
      </font>
      <fill>
        <patternFill>
          <bgColor rgb="FFCC0000"/>
        </patternFill>
      </fill>
    </dxf>
    <dxf>
      <fill>
        <patternFill>
          <bgColor rgb="FFF6B26B"/>
        </patternFill>
      </fill>
    </dxf>
    <dxf>
      <fill>
        <patternFill>
          <bgColor rgb="FFFFE599"/>
        </patternFill>
      </fill>
    </dxf>
    <dxf>
      <fill>
        <patternFill>
          <bgColor rgb="FFCCCCCC"/>
        </patternFill>
      </fill>
    </dxf>
    <dxf>
      <font>
        <b/>
        <color rgb="FF990000"/>
      </font>
      <fill>
        <patternFill>
          <bgColor rgb="FFEA9999"/>
        </patternFill>
      </fill>
    </dxf>
    <dxf>
      <font>
        <b/>
        <color rgb="FFB45F06"/>
      </font>
      <fill>
        <patternFill>
          <bgColor rgb="FFFCE5CD"/>
        </patternFill>
      </fill>
    </dxf>
    <dxf>
      <font>
        <color rgb="FF1155CC"/>
      </font>
      <fill>
        <patternFill>
          <bgColor rgb="FFD9E2F3"/>
        </patternFill>
      </fill>
    </dxf>
  </d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sheetViews>
    <sheetView workbookViewId="0"/>
  </sheetViews>
  <sheetFormatPr defaultRowHeight="15"/>
  <cols>
    <col min="1" max="1" width="115" customWidth="1"/>
  </cols>
  <sheetData>
    <row r="1" ht="30" customHeight="1">
      <c r="A1" t="inlineStr" s="3">
        <is>
          <t xml:space="preserve">Guide de remontee des anomalies - Tests metier</t>
        </is>
      </c>
    </row>
    <row r="3">
      <c r="A3" t="inlineStr" s="4">
        <is>
          <t xml:space="preserve">Objectif</t>
        </is>
      </c>
    </row>
    <row r="4" ht="60" customHeight="1">
      <c r="A4" t="inlineStr" s="5">
        <is>
          <t xml:space="preserve">Ce fichier sert de tableau de bord de prise en charge des anomalies : chaque colonne de l'onglet "Anomalies" existe pour eviter un aller-retour precis avec le testeur (voir le detail colonne par colonne ci-dessous). Une ligne d'exemple entierement remplie est fournie en haut de l'onglet Anomalies pour illustrer le niveau de detail attendu sur chaque champ. L'onglet "Tableau de bord" agrege automatiquement les compteurs (par statut, priorite, module) a partir des lignes saisies.</t>
        </is>
      </c>
    </row>
    <row r="6">
      <c r="A6" t="inlineStr" s="4">
        <is>
          <t xml:space="preserve">Regle d'or</t>
        </is>
      </c>
    </row>
    <row r="7" ht="45" customHeight="1">
      <c r="A7" t="inlineStr" s="5">
        <is>
          <t xml:space="preserve">1 ligne = 1 anomalie. Si vous constatez plusieurs problemes distincts, meme sur le meme ecran, creez une ligne par probleme : cela evite qu'un point bloquant se retrouve fige en attente d'un autre point secondaire regroupe avec lui.</t>
        </is>
      </c>
    </row>
    <row r="9">
      <c r="A9" t="inlineStr" s="4">
        <is>
          <t xml:space="preserve">Pourquoi chaque colonne existe (evite un aller-retour)</t>
        </is>
      </c>
    </row>
    <row r="10" ht="18" customHeight="1">
      <c r="A10" t="inlineStr" s="9">
        <is>
          <t xml:space="preserve">Date de constat*</t>
        </is>
      </c>
    </row>
    <row r="11" ht="32" customHeight="1">
      <c r="A11" t="inlineStr" s="5">
        <is>
          <t xml:space="preserve">Date reelle d'observation (pas la date de saisie du fichier) - situe l'anomalie dans le temps par rapport aux deploiements.</t>
        </is>
      </c>
    </row>
    <row r="12" ht="18" customHeight="1">
      <c r="A12" t="inlineStr" s="9">
        <is>
          <t xml:space="preserve">Testeur*</t>
        </is>
      </c>
    </row>
    <row r="13" ht="32" customHeight="1">
      <c r="A13" t="inlineStr" s="5">
        <is>
          <t xml:space="preserve">Nom et prenom complets. Ne pas utiliser de pseudo/code - plusieurs pseudos de la vague precedente n'ont pas pu etre decodes avec certitude.</t>
        </is>
      </c>
    </row>
    <row r="14" ht="18" customHeight="1">
      <c r="A14" t="inlineStr" s="9">
        <is>
          <t xml:space="preserve">Contact</t>
        </is>
      </c>
    </row>
    <row r="15" ht="32" customHeight="1">
      <c r="A15" t="inlineStr" s="5">
        <is>
          <t xml:space="preserve">Email ou telephone direct - permet de recontacter sans repasser par un intermediaire si un point precis manque.</t>
        </is>
      </c>
    </row>
    <row r="16" ht="18" customHeight="1">
      <c r="A16" t="inlineStr" s="9">
        <is>
          <t xml:space="preserve">Environnement*</t>
        </is>
      </c>
    </row>
    <row r="17" ht="32" customHeight="1">
      <c r="A17" t="inlineStr" s="5">
        <is>
          <t xml:space="preserve">Production ou Pre-production/Test. Un meme symptome peut avoir une cause completement differente selon l'environnement (deja arrive : un ecart explique uniquement par un instantane de pre-prod non a jour, pris a tort pour un bug de code).</t>
        </is>
      </c>
    </row>
    <row r="18" ht="18" customHeight="1">
      <c r="A18" t="inlineStr" s="9">
        <is>
          <t xml:space="preserve">Module concerne*</t>
        </is>
      </c>
    </row>
    <row r="19" ht="32" customHeight="1">
      <c r="A19" t="inlineStr" s="5">
        <is>
          <t xml:space="preserve">Domaine metier, pour orienter direct vers le bon developpeur/module technique.</t>
        </is>
      </c>
    </row>
    <row r="20" ht="18" customHeight="1">
      <c r="A20" t="inlineStr" s="9">
        <is>
          <t xml:space="preserve">Ecran / Menu exact*</t>
        </is>
      </c>
    </row>
    <row r="21" ht="32" customHeight="1">
      <c r="A21" t="inlineStr" s="5">
        <is>
          <t xml:space="preserve">Chemin de navigation precis : Application &gt; Menu &gt; Sous-menu &gt; Onglet. Plusieurs anomalies precedentes n'ont pas pu etre traitees faute de savoir sur quel ecran exact elles portaient.</t>
        </is>
      </c>
    </row>
    <row r="22" ht="18" customHeight="1">
      <c r="A22" t="inlineStr" s="9">
        <is>
          <t xml:space="preserve">URL Odoo (lien direct)*</t>
        </is>
      </c>
    </row>
    <row r="23" ht="32" customHeight="1">
      <c r="A23" t="inlineStr" s="5">
        <is>
          <t xml:space="preserve">Lien copie depuis la barre d'adresse du navigateur au moment du constat. Permet d'ouvrir directement le bon ecran/enregistrement sans reconstituer le chemin.</t>
        </is>
      </c>
    </row>
    <row r="24" ht="18" customHeight="1">
      <c r="A24" t="inlineStr" s="9">
        <is>
          <t xml:space="preserve">Type d'enregistrement</t>
        </is>
      </c>
    </row>
    <row r="25" ht="32" customHeight="1">
      <c r="A25" t="inlineStr" s="5">
        <is>
          <t xml:space="preserve">Nature de la piece concernee (devis, commande, affaire, OF...).</t>
        </is>
      </c>
    </row>
    <row r="26" ht="18" customHeight="1">
      <c r="A26" t="inlineStr" s="9">
        <is>
          <t xml:space="preserve">Reference enregistrement (N*)</t>
        </is>
      </c>
    </row>
    <row r="27" ht="32" customHeight="1">
      <c r="A27" t="inlineStr" s="5">
        <is>
          <t xml:space="preserve">Numero de piece (ex SO0421, WH/OUT/04582). Avec l'URL, c'est le champ qui fait le plus gagner de temps : sans lui il faut deviner ou chercher le cas concerne.</t>
        </is>
      </c>
    </row>
    <row r="28" ht="18" customHeight="1">
      <c r="A28" t="inlineStr" s="9">
        <is>
          <t xml:space="preserve">Constate*</t>
        </is>
      </c>
    </row>
    <row r="29" ht="32" customHeight="1">
      <c r="A29" t="inlineStr" s="5">
        <is>
          <t xml:space="preserve">Ce qui se passe reellement, factuellement (pas d'interpretation).</t>
        </is>
      </c>
    </row>
    <row r="30" ht="18" customHeight="1">
      <c r="A30" t="inlineStr" s="9">
        <is>
          <t xml:space="preserve">Attendu*</t>
        </is>
      </c>
    </row>
    <row r="31" ht="32" customHeight="1">
      <c r="A31" t="inlineStr" s="5">
        <is>
          <t xml:space="preserve">Ce qui devrait se passer selon vous. Si vous ne savez pas precisement, l'indiquer plutot que d'inventer une regle - evite un correctif base sur une hypothese non confirmee.</t>
        </is>
      </c>
    </row>
    <row r="32" ht="18" customHeight="1">
      <c r="A32" t="inlineStr" s="9">
        <is>
          <t xml:space="preserve">Chemin de reproduction*</t>
        </is>
      </c>
    </row>
    <row r="33" ht="32" customHeight="1">
      <c r="A33" t="inlineStr" s="5">
        <is>
          <t xml:space="preserve">Etapes numerotees (1. 2. 3.) pour retomber sur le probleme a coup sur.</t>
        </is>
      </c>
    </row>
    <row r="34" ht="18" customHeight="1">
      <c r="A34" t="inlineStr" s="9">
        <is>
          <t xml:space="preserve">Donnees de test utilisees</t>
        </is>
      </c>
    </row>
    <row r="35" ht="32" customHeight="1">
      <c r="A35" t="inlineStr" s="5">
        <is>
          <t xml:space="preserve">Client / produit / OF precis utilise, pour rejouer le cas exact ailleurs (staging, poste dev) sans deviner un jeu de donnees equivalent.</t>
        </is>
      </c>
    </row>
    <row r="36" ht="18" customHeight="1">
      <c r="A36" t="inlineStr" s="9">
        <is>
          <t xml:space="preserve">Message d'erreur exact</t>
        </is>
      </c>
    </row>
    <row r="37" ht="32" customHeight="1">
      <c r="A37" t="inlineStr" s="5">
        <is>
          <t xml:space="preserve">Copier-coller integral du message/popup/traceback si un message technique s'est affiche - souvent la piece la plus utile au diagnostic.</t>
        </is>
      </c>
    </row>
    <row r="38" ht="18" customHeight="1">
      <c r="A38" t="inlineStr" s="9">
        <is>
          <t xml:space="preserve">Ca fonctionnait avant ?</t>
        </is>
      </c>
    </row>
    <row r="39" ht="32" customHeight="1">
      <c r="A39" t="inlineStr" s="5">
        <is>
          <t xml:space="preserve">Regression (ca marchait avant) vs nouveau probleme vs ne sait pas - oriente vers un bisect de version plutot qu'une recherche a l'aveugle.</t>
        </is>
      </c>
    </row>
    <row r="40" ht="18" customHeight="1">
      <c r="A40" t="inlineStr" s="9">
        <is>
          <t xml:space="preserve">Frequence*</t>
        </is>
      </c>
    </row>
    <row r="41" ht="32" customHeight="1">
      <c r="A41" t="inlineStr" s="5">
        <is>
          <t xml:space="preserve">Systematique / Intermittent / Une seule fois. Un probleme intermittent ne se traite pas comme un probleme systematique.</t>
        </is>
      </c>
    </row>
    <row r="42" ht="18" customHeight="1">
      <c r="A42" t="inlineStr" s="9">
        <is>
          <t xml:space="preserve">Navigateur / poste</t>
        </is>
      </c>
    </row>
    <row r="43" ht="32" customHeight="1">
      <c r="A43" t="inlineStr" s="5">
        <is>
          <t xml:space="preserve">Navigateur et type de poste. Deja rencontre : un plantage explique uniquement par un cache navigateur obsolete apres redeploiement, pas par le code.</t>
        </is>
      </c>
    </row>
    <row r="44" ht="18" customHeight="1">
      <c r="A44" t="inlineStr" s="9">
        <is>
          <t xml:space="preserve">Capture d'ecran jointe*</t>
        </is>
      </c>
    </row>
    <row r="45" ht="32" customHeight="1">
      <c r="A45" t="inlineStr" s="5">
        <is>
          <t xml:space="preserve">Fortement recommande des que l'anomalie touche a l'affichage/la mise en page. Plusieurs points ont attendu un aller-retour supplementaire uniquement pour obtenir une capture.</t>
        </is>
      </c>
    </row>
    <row r="46" ht="18" customHeight="1">
      <c r="A46" t="inlineStr" s="9">
        <is>
          <t xml:space="preserve">Impact metier percu*</t>
        </is>
      </c>
    </row>
    <row r="47" ht="32" customHeight="1">
      <c r="A47" t="inlineStr" s="5">
        <is>
          <t xml:space="preserve">Bloquant (empeche de travailler) / Genant (contournement possible) / Amelioration souhaitee (pas un dysfonctionnement, une demande d'evolution).</t>
        </is>
      </c>
    </row>
    <row r="48" ht="18" customHeight="1">
      <c r="A48" t="inlineStr" s="9">
        <is>
          <t xml:space="preserve">Commentaire libre</t>
        </is>
      </c>
    </row>
    <row r="49" ht="32" customHeight="1">
      <c r="A49" t="inlineStr" s="5">
        <is>
          <t xml:space="preserve">Tout contexte additionnel utile non couvert par les champs ci-dessus.</t>
        </is>
      </c>
    </row>
    <row r="51">
      <c r="A51" t="inlineStr" s="4">
        <is>
          <t xml:space="preserve">Champs reserves a l'equipe JBS (ne pas remplir cote metier)</t>
        </is>
      </c>
    </row>
    <row r="52" ht="48" customHeight="1">
      <c r="A52" t="inlineStr" s="5">
        <is>
          <t xml:space="preserve">Statut, Priorite arbitree, Responsable, Date de prise en charge, Version corrigee/commit, Valide par metier : colonnes fond orange, mises a jour par l'equipe de developpement au fil du traitement (y compris apres arbitrage en reunion). Ne pas les modifier cote metier pour eviter d'ecraser un statut a jour.</t>
        </is>
      </c>
    </row>
    <row r="54">
      <c r="A54" t="inlineStr" s="4">
        <is>
          <t xml:space="preserve">Onglet Suivi des echanges</t>
        </is>
      </c>
    </row>
    <row r="55" ht="48" customHeight="1">
      <c r="A55" t="inlineStr" s="5">
        <is>
          <t xml:space="preserve">A chaque nouvelle information sur un ticket (retour dev, precision metier, validation en reunion), ajouter une ligne dans cet onglet avec le numero de ticket concerne, la date, l'auteur et le message. L'historique complet reste ainsi lisible chronologiquement, sans multiplier les colonnes de l'onglet Anomalies a chaque relance.</t>
        </is>
      </c>
    </row>
    <row r="57">
      <c r="A57" t="inlineStr" s="4">
        <is>
          <t xml:space="preserve">Onglet Tableau de bord</t>
        </is>
      </c>
    </row>
    <row r="58" ht="48" customHeight="1">
      <c r="A58" t="inlineStr" s="5">
        <is>
          <t xml:space="preserve">Compteurs automatiques (formules) bases sur les colonnes Statut / Priorite / Module / Impact de l'onglet Anomalies : total de tickets, tickets bloquants encore ouverts, repartition par statut / priorite / module. Se met a jour tout seul au fur et a mesure de la saisie, aucune action manuelle requise.</t>
        </is>
      </c>
    </row>
  </sheetData>
</worksheet>
</file>

<file path=xl/worksheets/sheet2.xml><?xml version="1.0" encoding="utf-8"?>
<worksheet xmlns="http://schemas.openxmlformats.org/spreadsheetml/2006/main">
  <sheetPr>
    <pageSetUpPr fitToPage="1"/>
  </sheetPr>
  <dimension ref="A1:N21"/>
  <sheetViews>
    <sheetView workbookViewId="0" showGridLines="0"/>
  </sheetViews>
  <sheetFormatPr defaultRowHeight="15"/>
  <cols>
    <col min="1" max="1" width="26" customWidth="1"/>
    <col min="2" max="2" width="10" customWidth="1"/>
    <col min="3" max="3" width="3" customWidth="1"/>
    <col min="4" max="4" width="16" customWidth="1"/>
    <col min="5" max="5" width="10" customWidth="1"/>
    <col min="6" max="6" width="3" customWidth="1"/>
    <col min="7" max="7" width="26" customWidth="1"/>
    <col min="8" max="8" width="10" customWidth="1"/>
    <col min="9" max="9" width="3" customWidth="1"/>
    <col min="10" max="10" width="16" customWidth="1"/>
    <col min="11" max="11" width="10" customWidth="1"/>
    <col min="12" max="12" width="3" customWidth="1"/>
  </cols>
  <sheetData>
    <row r="1" ht="32" customHeight="1">
      <c r="A1" t="inlineStr" s="14">
        <is>
          <t xml:space="preserve">Tableau de bord - Suivi des anomalies</t>
        </is>
      </c>
    </row>
    <row r="2">
      <c r="A2" s="14"/>
    </row>
    <row r="3">
      <c r="A3" s="0"/>
    </row>
    <row r="4" ht="20" customHeight="1">
      <c r="A4" t="inlineStr" s="15">
        <is>
          <t xml:space="preserve">Total tickets</t>
        </is>
      </c>
      <c r="D4" t="inlineStr" s="17">
        <is>
          <t xml:space="preserve">Bloquants ouverts</t>
        </is>
      </c>
      <c r="G4" t="inlineStr" s="15">
        <is>
          <t xml:space="preserve">En cours d'analyse</t>
        </is>
      </c>
      <c r="J4" t="inlineStr" s="15">
        <is>
          <t xml:space="preserve">Corriges - a valider</t>
        </is>
      </c>
    </row>
    <row r="5" ht="40" customHeight="1">
      <c r="A5" s="16">
        <f>COUNTIF(Anomalies!A2:A1000,"?*")</f>
      </c>
      <c r="D5" s="18">
        <f>COUNTIFS(Anomalies!U2:U1000,"Bloquant",Anomalies!W2:W1000,"&lt;&gt;Ferme - pas un bug",Anomalies!W2:W1000,"&lt;&gt;Corrige - a valider")</f>
      </c>
      <c r="G5" s="16">
        <f>COUNTIF(Anomalies!W2:W1000,"En cours danalyse")</f>
      </c>
      <c r="J5" s="16">
        <f>COUNTIF(Anomalies!W2:W1000,"Corrige - a valider")</f>
      </c>
    </row>
    <row r="6" ht="8" customHeight="1"/>
    <row r="7" ht="10" customHeight="1"/>
    <row r="9" ht="20" customHeight="1">
      <c r="A9" t="inlineStr" s="19">
        <is>
          <t xml:space="preserve">Statut</t>
        </is>
      </c>
      <c r="B9" t="inlineStr" s="19">
        <is>
          <t xml:space="preserve">Nombre</t>
        </is>
      </c>
      <c r="D9" t="inlineStr" s="19">
        <is>
          <t xml:space="preserve">Priorite</t>
        </is>
      </c>
      <c r="E9" t="inlineStr" s="19">
        <is>
          <t xml:space="preserve">Nombre</t>
        </is>
      </c>
      <c r="G9" t="inlineStr" s="19">
        <is>
          <t xml:space="preserve">Module concerne</t>
        </is>
      </c>
      <c r="H9" t="inlineStr" s="19">
        <is>
          <t xml:space="preserve">Nombre</t>
        </is>
      </c>
    </row>
    <row r="10" ht="28" customHeight="1">
      <c r="A10" t="inlineStr" s="21">
        <is>
          <t xml:space="preserve">Nouveau</t>
        </is>
      </c>
      <c r="B10" s="20">
        <f>COUNTIF(Anomalies!W2:W1000,"Nouveau")</f>
      </c>
      <c r="D10" t="inlineStr" s="21">
        <is>
          <t xml:space="preserve">P0 - Bloquant</t>
        </is>
      </c>
      <c r="E10" s="20">
        <f>COUNTIF(Anomalies!X2:X1000,"P0 - Bloquant")</f>
      </c>
      <c r="G10" t="inlineStr" s="21">
        <is>
          <t xml:space="preserve">Ventes / Devis</t>
        </is>
      </c>
      <c r="H10" s="20">
        <f>COUNTIF(Anomalies!F2:F1000,"Ventes / Devis")</f>
      </c>
    </row>
    <row r="11" ht="28" customHeight="1">
      <c r="A11" t="inlineStr" s="21">
        <is>
          <t xml:space="preserve">En cours d'analyse</t>
        </is>
      </c>
      <c r="B11" s="20">
        <f>COUNTIF(Anomalies!W2:W1000,"En cours d'analyse")</f>
      </c>
      <c r="D11" t="inlineStr" s="21">
        <is>
          <t xml:space="preserve">P1</t>
        </is>
      </c>
      <c r="E11" s="20">
        <f>COUNTIF(Anomalies!X2:X1000,"P1")</f>
      </c>
      <c r="G11" t="inlineStr" s="21">
        <is>
          <t xml:space="preserve">Achats</t>
        </is>
      </c>
      <c r="H11" s="20">
        <f>COUNTIF(Anomalies!F2:F1000,"Achats")</f>
      </c>
    </row>
    <row r="12" ht="28" customHeight="1">
      <c r="A12" t="inlineStr" s="21">
        <is>
          <t xml:space="preserve">Bug confirme</t>
        </is>
      </c>
      <c r="B12" s="20">
        <f>COUNTIF(Anomalies!W2:W1000,"Bug confirme")</f>
      </c>
      <c r="D12" t="inlineStr" s="21">
        <is>
          <t xml:space="preserve">P2</t>
        </is>
      </c>
      <c r="E12" s="20">
        <f>COUNTIF(Anomalies!X2:X1000,"P2")</f>
      </c>
      <c r="G12" t="inlineStr" s="21">
        <is>
          <t xml:space="preserve">Fabrication / OF</t>
        </is>
      </c>
      <c r="H12" s="20">
        <f>COUNTIF(Anomalies!F2:F1000,"Fabrication / OF")</f>
      </c>
    </row>
    <row r="13" ht="28" customHeight="1">
      <c r="A13" t="inlineStr" s="21">
        <is>
          <t xml:space="preserve">Corrige - a valider</t>
        </is>
      </c>
      <c r="B13" s="20">
        <f>COUNTIF(Anomalies!W2:W1000,"Corrige - a valider")</f>
      </c>
      <c r="D13" t="inlineStr" s="21">
        <is>
          <t xml:space="preserve">Differe</t>
        </is>
      </c>
      <c r="E13" s="20">
        <f>COUNTIF(Anomalies!X2:X1000,"Differe")</f>
      </c>
      <c r="G13" t="inlineStr" s="21">
        <is>
          <t xml:space="preserve">Atelier</t>
        </is>
      </c>
      <c r="H13" s="20">
        <f>COUNTIF(Anomalies!F2:F1000,"Atelier")</f>
      </c>
    </row>
    <row r="14" ht="28" customHeight="1">
      <c r="A14" t="inlineStr" s="21">
        <is>
          <t xml:space="preserve">Ferme - pas un bug</t>
        </is>
      </c>
      <c r="B14" s="20">
        <f>COUNTIF(Anomalies!W2:W1000,"Ferme - pas un bug")</f>
      </c>
      <c r="D14" s="2"/>
      <c r="E14" s="2"/>
      <c r="G14" t="inlineStr" s="21">
        <is>
          <t xml:space="preserve">Stock / Livraison</t>
        </is>
      </c>
      <c r="H14" s="20">
        <f>COUNTIF(Anomalies!F2:F1000,"Stock / Livraison")</f>
      </c>
    </row>
    <row r="15" ht="28" customHeight="1">
      <c r="A15" t="inlineStr" s="21">
        <is>
          <t xml:space="preserve">Standby / arbitrage requis</t>
        </is>
      </c>
      <c r="B15" s="20">
        <f>COUNTIF(Anomalies!W2:W1000,"Standby / arbitrage requis")</f>
      </c>
      <c r="D15" s="2"/>
      <c r="E15" s="2"/>
      <c r="G15" t="inlineStr" s="21">
        <is>
          <t xml:space="preserve">Facturation</t>
        </is>
      </c>
      <c r="H15" s="20">
        <f>COUNTIF(Anomalies!F2:F1000,"Facturation")</f>
      </c>
    </row>
    <row r="16" ht="28" customHeight="1">
      <c r="A16" t="inlineStr" s="21">
        <is>
          <t xml:space="preserve">Transfere a un tiers</t>
        </is>
      </c>
      <c r="B16" s="20">
        <f>COUNTIF(Anomalies!W2:W1000,"Transfere a un tiers")</f>
      </c>
      <c r="D16" s="2"/>
      <c r="E16" s="2"/>
      <c r="G16" t="inlineStr" s="21">
        <is>
          <t xml:space="preserve">RH / Conges</t>
        </is>
      </c>
      <c r="H16" s="20">
        <f>COUNTIF(Anomalies!F2:F1000,"RH / Conges")</f>
      </c>
    </row>
    <row r="17" ht="28" customHeight="1">
      <c r="A17" s="2"/>
      <c r="B17" s="2"/>
      <c r="D17" s="2"/>
      <c r="E17" s="2"/>
      <c r="G17" t="inlineStr" s="21">
        <is>
          <t xml:space="preserve">Contacts / CRM</t>
        </is>
      </c>
      <c r="H17" s="20">
        <f>COUNTIF(Anomalies!F2:F1000,"Contacts / CRM")</f>
      </c>
    </row>
    <row r="18" ht="28" customHeight="1">
      <c r="A18" s="2"/>
      <c r="B18" s="2"/>
      <c r="D18" s="2"/>
      <c r="E18" s="2"/>
      <c r="G18" t="inlineStr" s="21">
        <is>
          <t xml:space="preserve">Planification / Capacite</t>
        </is>
      </c>
      <c r="H18" s="20">
        <f>COUNTIF(Anomalies!F2:F1000,"Planification / Capacite")</f>
      </c>
    </row>
    <row r="19" ht="28" customHeight="1">
      <c r="A19" s="2"/>
      <c r="B19" s="2"/>
      <c r="D19" s="2"/>
      <c r="E19" s="2"/>
      <c r="G19" t="inlineStr" s="21">
        <is>
          <t xml:space="preserve">Autre</t>
        </is>
      </c>
      <c r="H19" s="20">
        <f>COUNTIF(Anomalies!F2:F1000,"Autre")</f>
      </c>
    </row>
    <row r="21" ht="20" customHeight="1">
      <c r="A21" t="inlineStr" s="22">
        <is>
          <t xml:space="preserve">Ces compteurs se mettent a jour automatiquement des qu'une ligne est ajoutee/modifiee dans l'onglet Anomalies.</t>
        </is>
      </c>
    </row>
  </sheetData>
  <mergeCells count="10">
    <mergeCell ref="A1:N2"/>
    <mergeCell ref="A4:B4"/>
    <mergeCell ref="A5:B6"/>
    <mergeCell ref="D4:E4"/>
    <mergeCell ref="D5:E6"/>
    <mergeCell ref="G4:H4"/>
    <mergeCell ref="G5:H6"/>
    <mergeCell ref="J4:K4"/>
    <mergeCell ref="J5:K6"/>
    <mergeCell ref="A21:H21"/>
  </mergeCells>
  <pageSetup orientation="landscape" fitToWidth="1" fitToHeight="0" paperSize="9"/>
</worksheet>
</file>

<file path=xl/worksheets/sheet3.xml><?xml version="1.0" encoding="utf-8"?>
<worksheet xmlns="http://schemas.openxmlformats.org/spreadsheetml/2006/main">
  <sheetPr>
    <pageSetUpPr fitToPage="1"/>
  </sheetPr>
  <dimension ref="A1:AB51"/>
  <sheetViews>
    <sheetView workbookViewId="0">
      <pane xSplit="3" ySplit="1" topLeftCell="D2" activePane="bottomRight" state="frozen"/>
    </sheetView>
  </sheetViews>
  <sheetFormatPr defaultRowHeight="15"/>
  <cols>
    <col min="1" max="1" width="14" customWidth="1"/>
    <col min="2" max="2" width="13" customWidth="1"/>
    <col min="3" max="3" width="16" customWidth="1"/>
    <col min="4" max="4" width="20" customWidth="1"/>
    <col min="5" max="5" width="13" customWidth="1"/>
    <col min="6" max="6" width="16" customWidth="1"/>
    <col min="7" max="7" width="30" customWidth="1"/>
    <col min="8" max="8" width="26" customWidth="1"/>
    <col min="9" max="9" width="15" customWidth="1"/>
    <col min="10" max="10" width="18" customWidth="1"/>
    <col min="11" max="11" width="30" customWidth="1"/>
    <col min="12" max="12" width="30" customWidth="1"/>
    <col min="13" max="13" width="34" customWidth="1"/>
    <col min="14" max="14" width="22" customWidth="1"/>
    <col min="15" max="15" width="24" customWidth="1"/>
    <col min="16" max="16" width="16" customWidth="1"/>
    <col min="17" max="17" width="12" customWidth="1"/>
    <col min="18" max="18" width="14" customWidth="1"/>
    <col min="19" max="19" width="16" customWidth="1"/>
    <col min="20" max="20" width="20" customWidth="1"/>
    <col min="21" max="21" width="14" customWidth="1"/>
    <col min="22" max="22" width="22" customWidth="1"/>
    <col min="23" max="23" width="20" customWidth="1"/>
    <col min="24" max="24" width="14" customWidth="1"/>
    <col min="25" max="25" width="14" customWidth="1"/>
    <col min="26" max="26" width="16" customWidth="1"/>
    <col min="27" max="27" width="20" customWidth="1"/>
    <col min="28" max="28" width="14" customWidth="1"/>
  </cols>
  <sheetData>
    <row r="1" ht="34" customHeight="1">
      <c r="A1" t="inlineStr" s="1">
        <is>
          <t xml:space="preserve">N* ticket</t>
        </is>
      </c>
      <c r="B1" t="inlineStr" s="1">
        <is>
          <t xml:space="preserve">Date de constat*</t>
        </is>
      </c>
      <c r="C1" t="inlineStr" s="1">
        <is>
          <t xml:space="preserve">Testeur (nom complet)*</t>
        </is>
      </c>
      <c r="D1" t="inlineStr" s="1">
        <is>
          <t xml:space="preserve">Contact (email/tel)</t>
        </is>
      </c>
      <c r="E1" t="inlineStr" s="1">
        <is>
          <t xml:space="preserve">Environnement*</t>
        </is>
      </c>
      <c r="F1" t="inlineStr" s="1">
        <is>
          <t xml:space="preserve">Module concerne*</t>
        </is>
      </c>
      <c r="G1" t="inlineStr" s="1">
        <is>
          <t xml:space="preserve">Ecran / Menu exact*</t>
        </is>
      </c>
      <c r="H1" t="inlineStr" s="1">
        <is>
          <t xml:space="preserve">URL Odoo (lien direct)*</t>
        </is>
      </c>
      <c r="I1" t="inlineStr" s="1">
        <is>
          <t xml:space="preserve">Type d'enregistrement</t>
        </is>
      </c>
      <c r="J1" t="inlineStr" s="1">
        <is>
          <t xml:space="preserve">Reference enregistrement (N*)</t>
        </is>
      </c>
      <c r="K1" t="inlineStr" s="1">
        <is>
          <t xml:space="preserve">Constate*</t>
        </is>
      </c>
      <c r="L1" t="inlineStr" s="1">
        <is>
          <t xml:space="preserve">Attendu*</t>
        </is>
      </c>
      <c r="M1" t="inlineStr" s="1">
        <is>
          <t xml:space="preserve">Chemin de reproduction*</t>
        </is>
      </c>
      <c r="N1" t="inlineStr" s="1">
        <is>
          <t xml:space="preserve">Donnees de test utilisees</t>
        </is>
      </c>
      <c r="O1" t="inlineStr" s="1">
        <is>
          <t xml:space="preserve">Message d'erreur exact</t>
        </is>
      </c>
      <c r="P1" t="inlineStr" s="1">
        <is>
          <t xml:space="preserve">Ca fonctionnait avant ?</t>
        </is>
      </c>
      <c r="Q1" t="inlineStr" s="1">
        <is>
          <t xml:space="preserve">Frequence*</t>
        </is>
      </c>
      <c r="R1" t="inlineStr" s="1">
        <is>
          <t xml:space="preserve">Navigateur / poste</t>
        </is>
      </c>
      <c r="S1" t="inlineStr" s="1">
        <is>
          <t xml:space="preserve">Capture d'ecran jointe*</t>
        </is>
      </c>
      <c r="T1" t="inlineStr" s="1">
        <is>
          <t xml:space="preserve">Lien / nom fichier capture</t>
        </is>
      </c>
      <c r="U1" t="inlineStr" s="1">
        <is>
          <t xml:space="preserve">Impact metier percu*</t>
        </is>
      </c>
      <c r="V1" t="inlineStr" s="1">
        <is>
          <t xml:space="preserve">Commentaire libre</t>
        </is>
      </c>
      <c r="W1" t="inlineStr" s="6">
        <is>
          <t xml:space="preserve">Statut</t>
        </is>
      </c>
      <c r="X1" t="inlineStr" s="6">
        <is>
          <t xml:space="preserve">Priorite arbitree</t>
        </is>
      </c>
      <c r="Y1" t="inlineStr" s="6">
        <is>
          <t xml:space="preserve">Responsable</t>
        </is>
      </c>
      <c r="Z1" t="inlineStr" s="6">
        <is>
          <t xml:space="preserve">Date de prise en charge</t>
        </is>
      </c>
      <c r="AA1" t="inlineStr" s="6">
        <is>
          <t xml:space="preserve">Version corrigee / commit</t>
        </is>
      </c>
      <c r="AB1" t="inlineStr" s="6">
        <is>
          <t xml:space="preserve">Valide par metier</t>
        </is>
      </c>
    </row>
    <row r="2" ht="95" customHeight="1">
      <c r="A2" t="inlineStr" s="9">
        <is>
          <t xml:space="preserve">T-01</t>
        </is>
      </c>
      <c r="B2" t="inlineStr" s="8">
        <is>
          <t xml:space="preserve">15/07/2026</t>
        </is>
      </c>
      <c r="C2" t="inlineStr" s="7">
        <is>
          <t xml:space="preserve">Valentin Lemonnier</t>
        </is>
      </c>
      <c r="D2" s="7"/>
      <c r="E2" s="7"/>
      <c r="F2" t="inlineStr" s="7">
        <is>
          <t xml:space="preserve">Ventes / Devis</t>
        </is>
      </c>
      <c r="G2" t="inlineStr" s="7">
        <is>
          <t xml:space="preserve">Ventes &gt; Devis &gt; formulaire (champs Gamme / Serie)</t>
        </is>
      </c>
      <c r="H2" s="7"/>
      <c r="I2" t="inlineStr" s="7">
        <is>
          <t xml:space="preserve">Devis</t>
        </is>
      </c>
      <c r="J2" s="7"/>
      <c r="K2" t="inlineStr" s="7">
        <is>
          <t xml:space="preserve">Pas de champ Gamme ni Serie visible sur le devis ; une fois ajoutes, la liste deroulante de Serie proposait toutes les series, pas seulement celles de la bonne Gamme</t>
        </is>
      </c>
      <c r="L2" t="inlineStr" s="7">
        <is>
          <t xml:space="preserve">Champs Gamme et Serie visibles, liste de Serie filtree selon la Gamme selectionnee (relation x_serie_mtn -&gt; x_studio_gamme_de_la_srie)</t>
        </is>
      </c>
      <c r="M2" s="7"/>
      <c r="N2" s="7"/>
      <c r="O2" s="7"/>
      <c r="P2" t="inlineStr" s="7">
        <is>
          <t xml:space="preserve">Non - nouveau probleme (champs jamais affiches)</t>
        </is>
      </c>
      <c r="Q2" s="7"/>
      <c r="R2" s="7"/>
      <c r="S2" s="7"/>
      <c r="T2" s="7"/>
      <c r="U2" t="inlineStr" s="7">
        <is>
          <t xml:space="preserve">Genant</t>
        </is>
      </c>
      <c r="V2" t="inlineStr" s="7">
        <is>
          <t xml:space="preserve">Domaine ajoute au champ Serie (commit c4c77e9), validation metier du 17/07 confirmee dans le code</t>
        </is>
      </c>
      <c r="W2" t="inlineStr" s="7">
        <is>
          <t xml:space="preserve">Corrige - a valider</t>
        </is>
      </c>
      <c r="X2" t="inlineStr" s="7">
        <is>
          <t xml:space="preserve">P1</t>
        </is>
      </c>
      <c r="Y2" t="inlineStr" s="7">
        <is>
          <t xml:space="preserve">JBS</t>
        </is>
      </c>
      <c r="Z2" t="inlineStr" s="8">
        <is>
          <t xml:space="preserve">20/07/2026</t>
        </is>
      </c>
      <c r="AA2" t="inlineStr" s="7">
        <is>
          <t xml:space="preserve">fma_sale_order_custom 19.0.1.0.4 ; domaine commit c4c77e9</t>
        </is>
      </c>
      <c r="AB2" t="inlineStr" s="7">
        <is>
          <t xml:space="preserve">Oui</t>
        </is>
      </c>
    </row>
    <row r="3" ht="95" customHeight="1">
      <c r="A3" t="inlineStr" s="9">
        <is>
          <t xml:space="preserve">T-02</t>
        </is>
      </c>
      <c r="B3" t="inlineStr" s="8">
        <is>
          <t xml:space="preserve">15/07/2026</t>
        </is>
      </c>
      <c r="C3" t="inlineStr" s="7">
        <is>
          <t xml:space="preserve">Valentin Lemonnier</t>
        </is>
      </c>
      <c r="D3" s="7"/>
      <c r="E3" s="7"/>
      <c r="F3" t="inlineStr" s="7">
        <is>
          <t xml:space="preserve">Ventes / Devis</t>
        </is>
      </c>
      <c r="G3" t="inlineStr" s="7">
        <is>
          <t xml:space="preserve">Ventes &gt; Devis / Affaire (selection du client)</t>
        </is>
      </c>
      <c r="H3" s="7"/>
      <c r="I3" t="inlineStr" s="7">
        <is>
          <t xml:space="preserve">Devis</t>
        </is>
      </c>
      <c r="J3" s="7"/>
      <c r="K3" t="inlineStr" s="7">
        <is>
          <t xml:space="preserve">Le commercial ne s'affecte pas automatiquement a la selection du client (fonctionne uniquement pour Commercial SI prospect)</t>
        </is>
      </c>
      <c r="L3" t="inlineStr" s="7">
        <is>
          <t xml:space="preserve">Commercial auto-rempli depuis le commercial parametre sur la fiche client</t>
        </is>
      </c>
      <c r="M3" s="7"/>
      <c r="N3" s="7"/>
      <c r="O3" s="7"/>
      <c r="P3" t="inlineStr" s="7">
        <is>
          <t xml:space="preserve">Oui - regression</t>
        </is>
      </c>
      <c r="Q3" s="7"/>
      <c r="R3" s="7"/>
      <c r="S3" s="7"/>
      <c r="T3" s="7"/>
      <c r="U3" t="inlineStr" s="7">
        <is>
          <t xml:space="preserve">Genant</t>
        </is>
      </c>
      <c r="V3" t="inlineStr" s="7">
        <is>
          <t xml:space="preserve">Retest Nolhan + Valentin : fonctionnait en pratique dans certains cas ; un champ Employe a neanmoins ete recree sur contact/Affaire/devis pour fiabiliser</t>
        </is>
      </c>
      <c r="W3" t="inlineStr" s="7">
        <is>
          <t xml:space="preserve">Corrige - a valider</t>
        </is>
      </c>
      <c r="X3" t="inlineStr" s="7">
        <is>
          <t xml:space="preserve">P1</t>
        </is>
      </c>
      <c r="Y3" t="inlineStr" s="7">
        <is>
          <t xml:space="preserve">JBS / DAVSOR</t>
        </is>
      </c>
      <c r="Z3" t="inlineStr" s="8">
        <is>
          <t xml:space="preserve">20/07/2026</t>
        </is>
      </c>
      <c r="AA3" s="7"/>
      <c r="AB3" s="7"/>
    </row>
    <row r="4" ht="95" customHeight="1">
      <c r="A4" t="inlineStr" s="9">
        <is>
          <t xml:space="preserve">T-03</t>
        </is>
      </c>
      <c r="B4" t="inlineStr" s="8">
        <is>
          <t xml:space="preserve">15/07/2026</t>
        </is>
      </c>
      <c r="C4" t="inlineStr" s="7">
        <is>
          <t xml:space="preserve">Valentin Lemonnier</t>
        </is>
      </c>
      <c r="D4" s="7"/>
      <c r="E4" s="7"/>
      <c r="F4" t="inlineStr" s="7">
        <is>
          <t xml:space="preserve">Ventes / Devis</t>
        </is>
      </c>
      <c r="G4" t="inlineStr" s="7">
        <is>
          <t xml:space="preserve">Affaire (mode de reglement / condition de paiement)</t>
        </is>
      </c>
      <c r="H4" s="7"/>
      <c r="I4" t="inlineStr" s="7">
        <is>
          <t xml:space="preserve">Affaire</t>
        </is>
      </c>
      <c r="J4" s="7"/>
      <c r="K4" t="inlineStr" s="7">
        <is>
          <t xml:space="preserve">Le mode de reglement ne se renseigne pas automatiquement depuis le client</t>
        </is>
      </c>
      <c r="L4" t="inlineStr" s="7">
        <is>
          <t xml:space="preserve">Le champ standard 'Condition de paiement' doit se recuperer depuis la fiche client sur l'Affaire</t>
        </is>
      </c>
      <c r="M4" s="7"/>
      <c r="N4" s="7"/>
      <c r="O4" s="7"/>
      <c r="P4" t="inlineStr" s="7">
        <is>
          <t xml:space="preserve">Oui - regression</t>
        </is>
      </c>
      <c r="Q4" s="7"/>
      <c r="R4" s="7"/>
      <c r="S4" s="7"/>
      <c r="T4" s="7"/>
      <c r="U4" t="inlineStr" s="7">
        <is>
          <t xml:space="preserve">Genant</t>
        </is>
      </c>
      <c r="V4" t="inlineStr" s="7">
        <is>
          <t xml:space="preserve">4 champs 'mode de reglement' coexistaient, source de confusion ; champ recree directement sur l'Affaire suite a l'arbitrage en reunion</t>
        </is>
      </c>
      <c r="W4" t="inlineStr" s="7">
        <is>
          <t xml:space="preserve">Corrige - a valider</t>
        </is>
      </c>
      <c r="X4" t="inlineStr" s="7">
        <is>
          <t xml:space="preserve">P1</t>
        </is>
      </c>
      <c r="Y4" t="inlineStr" s="7">
        <is>
          <t xml:space="preserve">JBS / DAVSOR</t>
        </is>
      </c>
      <c r="Z4" t="inlineStr" s="8">
        <is>
          <t xml:space="preserve">20/07/2026</t>
        </is>
      </c>
      <c r="AA4" s="7"/>
      <c r="AB4" s="7"/>
    </row>
    <row r="5" ht="95" customHeight="1">
      <c r="A5" t="inlineStr" s="9">
        <is>
          <t xml:space="preserve">T-04</t>
        </is>
      </c>
      <c r="B5" t="inlineStr" s="8">
        <is>
          <t xml:space="preserve">15/07/2026</t>
        </is>
      </c>
      <c r="C5" t="inlineStr" s="7">
        <is>
          <t xml:space="preserve">Valentin Lemonnier</t>
        </is>
      </c>
      <c r="D5" s="7"/>
      <c r="E5" t="inlineStr" s="7">
        <is>
          <t xml:space="preserve">Pre-production</t>
        </is>
      </c>
      <c r="F5" t="inlineStr" s="7">
        <is>
          <t xml:space="preserve">Ventes / Devis</t>
        </is>
      </c>
      <c r="G5" t="inlineStr" s="7">
        <is>
          <t xml:space="preserve">Affaire (chatter) / bloc Chronologie du devis</t>
        </is>
      </c>
      <c r="H5" s="7"/>
      <c r="I5" t="inlineStr" s="7">
        <is>
          <t xml:space="preserve">Affaire</t>
        </is>
      </c>
      <c r="J5" s="7"/>
      <c r="K5" t="inlineStr" s="7">
        <is>
          <t xml:space="preserve">Chronologie/chatter affaire pas positionne a droite comme en production</t>
        </is>
      </c>
      <c r="L5" t="inlineStr" s="7">
        <is>
          <t xml:space="preserve">Meme agencement qu'en production</t>
        </is>
      </c>
      <c r="M5" s="7"/>
      <c r="N5" s="7"/>
      <c r="O5" s="7"/>
      <c r="P5" s="7"/>
      <c r="Q5" s="7"/>
      <c r="R5" s="7"/>
      <c r="S5" t="inlineStr" s="7">
        <is>
          <t xml:space="preserve">Oui - lien ci-dessous</t>
        </is>
      </c>
      <c r="T5" t="inlineStr" s="7">
        <is>
          <t xml:space="preserve">Captures prod vs pre-prod utilisees en reunion du 20/07 (non re-jointes dans ce fichier)</t>
        </is>
      </c>
      <c r="U5" t="inlineStr" s="7">
        <is>
          <t xml:space="preserve">Amelioration souhaitee</t>
        </is>
      </c>
      <c r="V5" t="inlineStr" s="7">
        <is>
          <t xml:space="preserve">Chatter : comportement responsive standard d'Odoo 19 (bascule a droite au-dela de ~1920px), pas un bug. Distinct du bloc Chronologie du devis, retravaille en plusieurs iterations suite aux captures d'ecran (commits 022d964 / 9a94f76)</t>
        </is>
      </c>
      <c r="W5" t="inlineStr" s="7">
        <is>
          <t xml:space="preserve">Ferme - pas un bug</t>
        </is>
      </c>
      <c r="X5" t="inlineStr" s="7">
        <is>
          <t xml:space="preserve">Differe</t>
        </is>
      </c>
      <c r="Y5" s="7"/>
      <c r="Z5" t="inlineStr" s="8">
        <is>
          <t xml:space="preserve">20/07/2026</t>
        </is>
      </c>
      <c r="AA5" s="7"/>
      <c r="AB5" t="inlineStr" s="7">
        <is>
          <t xml:space="preserve">Oui</t>
        </is>
      </c>
    </row>
    <row r="6" ht="95" customHeight="1">
      <c r="A6" t="inlineStr" s="9">
        <is>
          <t xml:space="preserve">T-05</t>
        </is>
      </c>
      <c r="B6" t="inlineStr" s="8">
        <is>
          <t xml:space="preserve">15/07/2026</t>
        </is>
      </c>
      <c r="C6" t="inlineStr" s="7">
        <is>
          <t xml:space="preserve">Valentin Lemonnier</t>
        </is>
      </c>
      <c r="D6" s="7"/>
      <c r="E6" s="7"/>
      <c r="F6" t="inlineStr" s="7">
        <is>
          <t xml:space="preserve">Ventes / Devis</t>
        </is>
      </c>
      <c r="G6" t="inlineStr" s="7">
        <is>
          <t xml:space="preserve">Affaire (x_affaire)</t>
        </is>
      </c>
      <c r="H6" s="7"/>
      <c r="I6" t="inlineStr" s="7">
        <is>
          <t xml:space="preserve">Affaire</t>
        </is>
      </c>
      <c r="J6" s="7"/>
      <c r="K6" t="inlineStr" s="7">
        <is>
          <t xml:space="preserve">Le champ affiche 'Projet' devrait s'appeler 'Compte analytique'</t>
        </is>
      </c>
      <c r="L6" t="inlineStr" s="7">
        <is>
          <t xml:space="preserve">Champ 'Compte analytique' present sur l'Affaire (verifie en code : n'existe pas du tout aujourd'hui, pas un simple probleme d'etiquette)</t>
        </is>
      </c>
      <c r="M6" s="7"/>
      <c r="N6" s="7"/>
      <c r="O6" s="7"/>
      <c r="P6" t="inlineStr" s="7">
        <is>
          <t xml:space="preserve">Non - nouveau probleme</t>
        </is>
      </c>
      <c r="Q6" s="7"/>
      <c r="R6" s="7"/>
      <c r="S6" s="7"/>
      <c r="T6" s="7"/>
      <c r="U6" t="inlineStr" s="7">
        <is>
          <t xml:space="preserve">Amelioration souhaitee</t>
        </is>
      </c>
      <c r="V6" t="inlineStr" s="7">
        <is>
          <t xml:space="preserve">Mis en pause : fusion Projet / Compte analytique / Projet MTN en cours de cadrage, a ne pas traiter isolement</t>
        </is>
      </c>
      <c r="W6" t="inlineStr" s="7">
        <is>
          <t xml:space="preserve">Standby / arbitrage requis</t>
        </is>
      </c>
      <c r="X6" t="inlineStr" s="7">
        <is>
          <t xml:space="preserve">Differe</t>
        </is>
      </c>
      <c r="Y6" t="inlineStr" s="7">
        <is>
          <t xml:space="preserve">David / JBS</t>
        </is>
      </c>
      <c r="Z6" t="inlineStr" s="8">
        <is>
          <t xml:space="preserve">20/07/2026</t>
        </is>
      </c>
      <c r="AA6" s="7"/>
      <c r="AB6" s="7"/>
    </row>
    <row r="7" ht="95" customHeight="1">
      <c r="A7" t="inlineStr" s="9">
        <is>
          <t xml:space="preserve">T-06</t>
        </is>
      </c>
      <c r="B7" t="inlineStr" s="8">
        <is>
          <t xml:space="preserve">15/07/2026</t>
        </is>
      </c>
      <c r="C7" t="inlineStr" s="7">
        <is>
          <t xml:space="preserve">Valentin Lemonnier</t>
        </is>
      </c>
      <c r="D7" s="7"/>
      <c r="E7" s="7"/>
      <c r="F7" t="inlineStr" s="7">
        <is>
          <t xml:space="preserve">Ventes / Devis</t>
        </is>
      </c>
      <c r="G7" t="inlineStr" s="7">
        <is>
          <t xml:space="preserve">Affaire / Projet MTN (workflow chef de projet / technicien BE)</t>
        </is>
      </c>
      <c r="H7" s="7"/>
      <c r="I7" t="inlineStr" s="7">
        <is>
          <t xml:space="preserve">Affaire</t>
        </is>
      </c>
      <c r="J7" s="7"/>
      <c r="K7" t="inlineStr" s="7">
        <is>
          <t xml:space="preserve">Le champ 'BE' se remplit alors qu'il devrait rester vide tant que le projet n'est pas valide</t>
        </is>
      </c>
      <c r="L7" t="inlineStr" s="7">
        <is>
          <t xml:space="preserve">Champ BE vide jusqu'a 'Devis valide le', rempli ensuite via le Chef de projet</t>
        </is>
      </c>
      <c r="M7" s="7"/>
      <c r="N7" s="7"/>
      <c r="O7" s="7"/>
      <c r="P7" s="7"/>
      <c r="Q7" s="7"/>
      <c r="R7" s="7"/>
      <c r="S7" s="7"/>
      <c r="T7" s="7"/>
      <c r="U7" t="inlineStr" s="7">
        <is>
          <t xml:space="preserve">Amelioration souhaitee</t>
        </is>
      </c>
      <c r="V7" t="inlineStr" s="7">
        <is>
          <t xml:space="preserve">Ferme explicitement par le testeur en reunion : comportement confirme correct en v19</t>
        </is>
      </c>
      <c r="W7" t="inlineStr" s="7">
        <is>
          <t xml:space="preserve">Ferme - pas un bug</t>
        </is>
      </c>
      <c r="X7" s="7"/>
      <c r="Y7" s="7"/>
      <c r="Z7" t="inlineStr" s="8">
        <is>
          <t xml:space="preserve">20/07/2026</t>
        </is>
      </c>
      <c r="AA7" s="7"/>
      <c r="AB7" t="inlineStr" s="7">
        <is>
          <t xml:space="preserve">Oui</t>
        </is>
      </c>
    </row>
    <row r="8" ht="95" customHeight="1">
      <c r="A8" t="inlineStr" s="9">
        <is>
          <t xml:space="preserve">T-07</t>
        </is>
      </c>
      <c r="B8" t="inlineStr" s="8">
        <is>
          <t xml:space="preserve">15/07/2026</t>
        </is>
      </c>
      <c r="C8" t="inlineStr" s="7">
        <is>
          <t xml:space="preserve">Valentin Lemonnier</t>
        </is>
      </c>
      <c r="D8" s="7"/>
      <c r="E8" s="7"/>
      <c r="F8" t="inlineStr" s="7">
        <is>
          <t xml:space="preserve">Contacts / CRM</t>
        </is>
      </c>
      <c r="G8" t="inlineStr" s="7">
        <is>
          <t xml:space="preserve">Contacts (vue Kanban)</t>
        </is>
      </c>
      <c r="H8" s="7"/>
      <c r="I8" t="inlineStr" s="7">
        <is>
          <t xml:space="preserve">Contact</t>
        </is>
      </c>
      <c r="J8" s="7"/>
      <c r="K8" t="inlineStr" s="7">
        <is>
          <t xml:space="preserve">Preference pour l'ancien module Contact ; souhait de distinguer visuellement client / adresse chantier / contact</t>
        </is>
      </c>
      <c r="L8" t="inlineStr" s="7">
        <is>
          <t xml:space="preserve">Badge visuel Client/Chantier/Contact directement dans la vue Kanban</t>
        </is>
      </c>
      <c r="M8" s="7"/>
      <c r="N8" s="7"/>
      <c r="O8" s="7"/>
      <c r="P8" s="7"/>
      <c r="Q8" s="7"/>
      <c r="R8" s="7"/>
      <c r="S8" s="7"/>
      <c r="T8" s="7"/>
      <c r="U8" t="inlineStr" s="7">
        <is>
          <t xml:space="preserve">Amelioration souhaitee</t>
        </is>
      </c>
      <c r="V8" t="inlineStr" s="7">
        <is>
          <t xml:space="preserve">Devient une vraie demande d'evolution ; confirme en reunion comme un changement d'ergonomie standard Odoo 19, sans lien avec la migration</t>
        </is>
      </c>
      <c r="W8" t="inlineStr" s="7">
        <is>
          <t xml:space="preserve">Standby / arbitrage requis</t>
        </is>
      </c>
      <c r="X8" t="inlineStr" s="7">
        <is>
          <t xml:space="preserve">Differe</t>
        </is>
      </c>
      <c r="Y8" t="inlineStr" s="7">
        <is>
          <t xml:space="preserve">JBS</t>
        </is>
      </c>
      <c r="Z8" t="inlineStr" s="8">
        <is>
          <t xml:space="preserve">20/07/2026</t>
        </is>
      </c>
      <c r="AA8" s="7"/>
      <c r="AB8" s="7"/>
    </row>
    <row r="9" ht="95" customHeight="1">
      <c r="A9" t="inlineStr" s="9">
        <is>
          <t xml:space="preserve">T-08</t>
        </is>
      </c>
      <c r="B9" t="inlineStr" s="8">
        <is>
          <t xml:space="preserve">15/07/2026</t>
        </is>
      </c>
      <c r="C9" t="inlineStr" s="7">
        <is>
          <t xml:space="preserve">Valentin Lemonnier</t>
        </is>
      </c>
      <c r="D9" t="inlineStr" s="7">
        <is>
          <t xml:space="preserve">Utilisateur reellement impacte : Nolhan Pavin (nolhan.pavin@janneau.com)</t>
        </is>
      </c>
      <c r="E9" t="inlineStr" s="7">
        <is>
          <t xml:space="preserve">Pre-production</t>
        </is>
      </c>
      <c r="F9" t="inlineStr" s="7">
        <is>
          <t xml:space="preserve">Autre</t>
        </is>
      </c>
      <c r="G9" t="inlineStr" s="7">
        <is>
          <t xml:space="preserve">Tableau de bord Spreadsheet 'Ventes FMA' (menu Ventes)</t>
        </is>
      </c>
      <c r="H9" s="7"/>
      <c r="I9" t="inlineStr" s="7">
        <is>
          <t xml:space="preserve">Autre / sans objet</t>
        </is>
      </c>
      <c r="J9" s="7"/>
      <c r="K9" t="inlineStr" s="7">
        <is>
          <t xml:space="preserve">Le dashboard 'Ventes FMA' affiche un contenu generique au lieu du rapport detaille attendu (fonctionne pour F2M)</t>
        </is>
      </c>
      <c r="L9" t="inlineStr" s="7">
        <is>
          <t xml:space="preserve">Le dashboard 'Ventes FMA' doit afficher le rapport detaille (Devis realises, prise de commande, taux de transformation)</t>
        </is>
      </c>
      <c r="M9" s="7"/>
      <c r="N9" t="inlineStr" s="7">
        <is>
          <t xml:space="preserve">Compte Nolhan Pavin (id=69) ; spreadsheet.dashboard id=12 'Ventes FMA' vs id=64 'Ventes FMA (2025)'</t>
        </is>
      </c>
      <c r="O9" s="7"/>
      <c r="P9" s="7"/>
      <c r="Q9" s="7"/>
      <c r="R9" s="7"/>
      <c r="S9" t="inlineStr" s="7">
        <is>
          <t xml:space="preserve">Oui - lien ci-dessous</t>
        </is>
      </c>
      <c r="T9" t="inlineStr" s="7">
        <is>
          <t xml:space="preserve">Captures prod vs pre-prod utilisees le 20/07 (non re-jointes dans ce fichier)</t>
        </is>
      </c>
      <c r="U9" t="inlineStr" s="7">
        <is>
          <t xml:space="preserve">Genant</t>
        </is>
      </c>
      <c r="V9" t="inlineStr" s="7">
        <is>
          <t xml:space="preserve">Confirme en test direct le 21/07 (backup pre-prod du jour, connexion reelle) : pas un bug de code, probleme de nommage - le rapport detaille existe mais range sous 'Ventes FMA (2025)' au lieu de 'Ventes FMA'. Action requise : renommer/reorganiser les dashboards directement en production (donnee, hors code)</t>
        </is>
      </c>
      <c r="W9" t="inlineStr" s="7">
        <is>
          <t xml:space="preserve">En cours d'analyse</t>
        </is>
      </c>
      <c r="X9" t="inlineStr" s="7">
        <is>
          <t xml:space="preserve">P2</t>
        </is>
      </c>
      <c r="Y9" t="inlineStr" s="7">
        <is>
          <t xml:space="preserve">JBS / Alexis</t>
        </is>
      </c>
      <c r="Z9" t="inlineStr" s="8">
        <is>
          <t xml:space="preserve">20/07/2026</t>
        </is>
      </c>
      <c r="AA9" s="7"/>
      <c r="AB9" s="7"/>
    </row>
    <row r="10" ht="95" customHeight="1">
      <c r="A10" t="inlineStr" s="9">
        <is>
          <t xml:space="preserve">T-09</t>
        </is>
      </c>
      <c r="B10" t="inlineStr" s="8">
        <is>
          <t xml:space="preserve">15/07/2026</t>
        </is>
      </c>
      <c r="C10" t="inlineStr" s="7">
        <is>
          <t xml:space="preserve">Elowen Gauthier</t>
        </is>
      </c>
      <c r="D10" s="7"/>
      <c r="E10" s="7"/>
      <c r="F10" t="inlineStr" s="7">
        <is>
          <t xml:space="preserve">Ventes / Devis</t>
        </is>
      </c>
      <c r="G10" t="inlineStr" s="7">
        <is>
          <t xml:space="preserve">Affaire &gt; Onglet Autres informations</t>
        </is>
      </c>
      <c r="H10" s="7"/>
      <c r="I10" t="inlineStr" s="7">
        <is>
          <t xml:space="preserve">Affaire</t>
        </is>
      </c>
      <c r="J10" s="7"/>
      <c r="K10" t="inlineStr" s="7">
        <is>
          <t xml:space="preserve">Champ 'Dates effective' manquant</t>
        </is>
      </c>
      <c r="L10" t="inlineStr" s="7">
        <is>
          <t xml:space="preserve">Date a laquelle la livraison est totalement effectuee</t>
        </is>
      </c>
      <c r="M10" s="7"/>
      <c r="N10" s="7"/>
      <c r="O10" s="7"/>
      <c r="P10" s="7"/>
      <c r="Q10" s="7"/>
      <c r="R10" s="7"/>
      <c r="S10" s="7"/>
      <c r="T10" s="7"/>
      <c r="U10" t="inlineStr" s="7">
        <is>
          <t xml:space="preserve">Amelioration souhaitee</t>
        </is>
      </c>
      <c r="V10" t="inlineStr" s="7">
        <is>
          <t xml:space="preserve">Clarifie par le testeur ; reste a trancher si le champ doit etre calcule automatiquement (derniere livraison liee) ou saisi manuellement - pas de developpement engage</t>
        </is>
      </c>
      <c r="W10" t="inlineStr" s="7">
        <is>
          <t xml:space="preserve">Ferme - pas un bug</t>
        </is>
      </c>
      <c r="X10" s="7"/>
      <c r="Y10" s="7"/>
      <c r="Z10" t="inlineStr" s="8">
        <is>
          <t xml:space="preserve">20/07/2026</t>
        </is>
      </c>
      <c r="AA10" s="7"/>
      <c r="AB10" t="inlineStr" s="7">
        <is>
          <t xml:space="preserve">Oui</t>
        </is>
      </c>
    </row>
    <row r="11" ht="95" customHeight="1">
      <c r="A11" t="inlineStr" s="9">
        <is>
          <t xml:space="preserve">T-10</t>
        </is>
      </c>
      <c r="B11" t="inlineStr" s="8">
        <is>
          <t xml:space="preserve">15/07/2026</t>
        </is>
      </c>
      <c r="C11" t="inlineStr" s="7">
        <is>
          <t xml:space="preserve">Elowen Gauthier</t>
        </is>
      </c>
      <c r="D11" s="7"/>
      <c r="E11" s="7"/>
      <c r="F11" t="inlineStr" s="7">
        <is>
          <t xml:space="preserve">Fabrication / OF</t>
        </is>
      </c>
      <c r="G11" t="inlineStr" s="7">
        <is>
          <t xml:space="preserve">Ordre de fabrication &gt; Onglet Ordre de travail</t>
        </is>
      </c>
      <c r="H11" s="7"/>
      <c r="I11" t="inlineStr" s="7">
        <is>
          <t xml:space="preserve">Ordre de fabrication</t>
        </is>
      </c>
      <c r="J11" s="7"/>
      <c r="K11" t="inlineStr" s="7">
        <is>
          <t xml:space="preserve">Colonne 'sequence operation' invisible/absente</t>
        </is>
      </c>
      <c r="L11" t="inlineStr" s="7">
        <is>
          <t xml:space="preserve">Colonne toujours visible, triee par ordre chronologique, comme en production</t>
        </is>
      </c>
      <c r="M11" s="7"/>
      <c r="N11" s="7"/>
      <c r="O11" s="7"/>
      <c r="P11" t="inlineStr" s="7">
        <is>
          <t xml:space="preserve">Oui - regression</t>
        </is>
      </c>
      <c r="Q11" s="7"/>
      <c r="R11" s="7"/>
      <c r="S11" s="7"/>
      <c r="T11" s="7"/>
      <c r="U11" t="inlineStr" s="7">
        <is>
          <t xml:space="preserve">Genant</t>
        </is>
      </c>
      <c r="V11" t="inlineStr" s="7">
        <is>
          <t xml:space="preserve">Corrige : poignee de tri en brouillon uniquement, valeur en lecture seule ensuite - confirme par le testeur</t>
        </is>
      </c>
      <c r="W11" t="inlineStr" s="7">
        <is>
          <t xml:space="preserve">Corrige - a valider</t>
        </is>
      </c>
      <c r="X11" t="inlineStr" s="7">
        <is>
          <t xml:space="preserve">P1</t>
        </is>
      </c>
      <c r="Y11" t="inlineStr" s="7">
        <is>
          <t xml:space="preserve">JBS</t>
        </is>
      </c>
      <c r="Z11" t="inlineStr" s="8">
        <is>
          <t xml:space="preserve">20/07/2026</t>
        </is>
      </c>
      <c r="AA11" t="inlineStr" s="7">
        <is>
          <t xml:space="preserve">mrp_capacity_planning 19.0.1.0.6</t>
        </is>
      </c>
      <c r="AB11" t="inlineStr" s="7">
        <is>
          <t xml:space="preserve">Oui</t>
        </is>
      </c>
    </row>
    <row r="12" ht="95" customHeight="1">
      <c r="A12" t="inlineStr" s="9">
        <is>
          <t xml:space="preserve">T-11</t>
        </is>
      </c>
      <c r="B12" t="inlineStr" s="8">
        <is>
          <t xml:space="preserve">15/07/2026</t>
        </is>
      </c>
      <c r="C12" t="inlineStr" s="7">
        <is>
          <t xml:space="preserve">Elowen Gauthier</t>
        </is>
      </c>
      <c r="D12" s="7"/>
      <c r="E12" s="7"/>
      <c r="F12" t="inlineStr" s="7">
        <is>
          <t xml:space="preserve">Fabrication / OF</t>
        </is>
      </c>
      <c r="G12" t="inlineStr" s="7">
        <is>
          <t xml:space="preserve">Ordre de fabrication &gt; Onglet Divers</t>
        </is>
      </c>
      <c r="H12" s="7"/>
      <c r="I12" t="inlineStr" s="7">
        <is>
          <t xml:space="preserve">Ordre de fabrication</t>
        </is>
      </c>
      <c r="J12" s="7"/>
      <c r="K12" t="inlineStr" s="7">
        <is>
          <t xml:space="preserve">Le projet ne se renseigne pas automatiquement sur l'onglet Divers</t>
        </is>
      </c>
      <c r="L12" t="inlineStr" s="7">
        <is>
          <t xml:space="preserve">Projet renseigne automatiquement depuis le devis d'origine</t>
        </is>
      </c>
      <c r="M12" s="7"/>
      <c r="N12" s="7"/>
      <c r="O12" s="7"/>
      <c r="P12" s="7"/>
      <c r="Q12" s="7"/>
      <c r="R12" s="7"/>
      <c r="S12" s="7"/>
      <c r="T12" s="7"/>
      <c r="U12" t="inlineStr" s="7">
        <is>
          <t xml:space="preserve">Genant</t>
        </is>
      </c>
      <c r="V12" t="inlineStr" s="7">
        <is>
          <t xml:space="preserve">Retour ambigu ('sur les anciennes commandes ca marche') ; rouvert en reunion faute de confirmation ferme - a retester specifiquement sur des affaires/commandes creees apres la migration</t>
        </is>
      </c>
      <c r="W12" t="inlineStr" s="7">
        <is>
          <t xml:space="preserve">Standby / arbitrage requis</t>
        </is>
      </c>
      <c r="X12" t="inlineStr" s="7">
        <is>
          <t xml:space="preserve">P2</t>
        </is>
      </c>
      <c r="Y12" t="inlineStr" s="7">
        <is>
          <t xml:space="preserve">JBS</t>
        </is>
      </c>
      <c r="Z12" t="inlineStr" s="8">
        <is>
          <t xml:space="preserve">20/07/2026</t>
        </is>
      </c>
      <c r="AA12" s="7"/>
      <c r="AB12" s="7"/>
    </row>
    <row r="13" ht="95" customHeight="1">
      <c r="A13" t="inlineStr" s="9">
        <is>
          <t xml:space="preserve">T-12</t>
        </is>
      </c>
      <c r="B13" t="inlineStr" s="8">
        <is>
          <t xml:space="preserve">15/07/2026</t>
        </is>
      </c>
      <c r="C13" t="inlineStr" s="7">
        <is>
          <t xml:space="preserve">Elowen Gauthier</t>
        </is>
      </c>
      <c r="D13" s="7"/>
      <c r="E13" s="7"/>
      <c r="F13" t="inlineStr" s="7">
        <is>
          <t xml:space="preserve">Achats</t>
        </is>
      </c>
      <c r="G13" t="inlineStr" s="7">
        <is>
          <t xml:space="preserve">Commande d'achat (en-tete)</t>
        </is>
      </c>
      <c r="H13" s="7"/>
      <c r="I13" t="inlineStr" s="7">
        <is>
          <t xml:space="preserve">Commande d'achat</t>
        </is>
      </c>
      <c r="J13" t="inlineStr" s="7">
        <is>
          <t xml:space="preserve">P27214</t>
        </is>
      </c>
      <c r="K13" t="inlineStr" s="7">
        <is>
          <t xml:space="preserve">'Projet du SO' vide, 'Is XML Created' absent de la fiche (visible seulement en liste), commentaires livraison/interne absents</t>
        </is>
      </c>
      <c r="L13" t="inlineStr" s="7">
        <is>
          <t xml:space="preserve">Champs en en-tete (pas de duplication par ligne), 'Projet du SO' propage automatiquement depuis le devis source</t>
        </is>
      </c>
      <c r="M13" s="7"/>
      <c r="N13" t="inlineStr" s="7">
        <is>
          <t xml:space="preserve">Commande P27214 (test de propagation reussi)</t>
        </is>
      </c>
      <c r="O13" s="7"/>
      <c r="P13" t="inlineStr" s="7">
        <is>
          <t xml:space="preserve">Non - nouveau probleme</t>
        </is>
      </c>
      <c r="Q13" s="7"/>
      <c r="R13" s="7"/>
      <c r="S13" s="7"/>
      <c r="T13" s="7"/>
      <c r="U13" t="inlineStr" s="7">
        <is>
          <t xml:space="preserve">Bloquant</t>
        </is>
      </c>
      <c r="V13" t="inlineStr" s="7">
        <is>
          <t xml:space="preserve">Confirme une seconde fois independamment (81 commandes sur 169 avaient 'Projet du SO' vide en base, soit 48%). Corrige le 21/07 par propagation automatique a la creation/ecriture (ne touche jamais une saisie manuelle existante) ; rattrapage sur 93 commandes existantes fait en local, a rejouer en production apres deploiement</t>
        </is>
      </c>
      <c r="W13" t="inlineStr" s="7">
        <is>
          <t xml:space="preserve">Corrige - a valider</t>
        </is>
      </c>
      <c r="X13" t="inlineStr" s="7">
        <is>
          <t xml:space="preserve">P0 - Bloquant</t>
        </is>
      </c>
      <c r="Y13" t="inlineStr" s="7">
        <is>
          <t xml:space="preserve">JBS</t>
        </is>
      </c>
      <c r="Z13" t="inlineStr" s="8">
        <is>
          <t xml:space="preserve">20/07/2026</t>
        </is>
      </c>
      <c r="AA13" t="inlineStr" s="7">
        <is>
          <t xml:space="preserve">custom 19.0.1.0.18, commit 476c639</t>
        </is>
      </c>
      <c r="AB13" s="7"/>
    </row>
    <row r="14" ht="95" customHeight="1">
      <c r="A14" t="inlineStr" s="9">
        <is>
          <t xml:space="preserve">T-13</t>
        </is>
      </c>
      <c r="B14" t="inlineStr" s="8">
        <is>
          <t xml:space="preserve">15/07/2026</t>
        </is>
      </c>
      <c r="C14" t="inlineStr" s="7">
        <is>
          <t xml:space="preserve">Elowen Gauthier</t>
        </is>
      </c>
      <c r="D14" s="7"/>
      <c r="E14" s="7"/>
      <c r="F14" t="inlineStr" s="7">
        <is>
          <t xml:space="preserve">Achats</t>
        </is>
      </c>
      <c r="G14" t="inlineStr" s="7">
        <is>
          <t xml:space="preserve">Commande d'achat vitrage (categorie Remplissage)</t>
        </is>
      </c>
      <c r="H14" s="7"/>
      <c r="I14" t="inlineStr" s="7">
        <is>
          <t xml:space="preserve">Commande d'achat</t>
        </is>
      </c>
      <c r="J14" s="7"/>
      <c r="K14" t="inlineStr" s="7">
        <is>
          <t xml:space="preserve">Champs manquants : remise, commentaire livraison, dimensions, hauteur/largeur, repartition analytique qui ne se propage pas ; 'Contrat cadre' affiche a tort</t>
        </is>
      </c>
      <c r="L14" t="inlineStr" s="7">
        <is>
          <t xml:space="preserve">Champs vitrage affiches uniquement sur les commandes concernees (categorie Remplissage), Contrat cadre masque</t>
        </is>
      </c>
      <c r="M14" s="7"/>
      <c r="N14" s="7"/>
      <c r="O14" s="7"/>
      <c r="P14" t="inlineStr" s="7">
        <is>
          <t xml:space="preserve">Non - nouveau probleme</t>
        </is>
      </c>
      <c r="Q14" s="7"/>
      <c r="R14" s="7"/>
      <c r="S14" s="7"/>
      <c r="T14" s="7"/>
      <c r="U14" t="inlineStr" s="7">
        <is>
          <t xml:space="preserve">Genant</t>
        </is>
      </c>
      <c r="V14" t="inlineStr" s="7">
        <is>
          <t xml:space="preserve">Confirme independamment par 3 remontees supplementaires (onglet vitrage manquant, remise fournisseur, analytique par ligne - voir T-26/T-27). Corrige : champ calcule x_is_glazing_order conditionne l'affichage remise/commentaires/dimensions ; Contrat cadre masque sur toutes les commandes. Repartition analytique automatique en standby (David)</t>
        </is>
      </c>
      <c r="W14" t="inlineStr" s="7">
        <is>
          <t xml:space="preserve">Corrige - a valider</t>
        </is>
      </c>
      <c r="X14" t="inlineStr" s="7">
        <is>
          <t xml:space="preserve">P1</t>
        </is>
      </c>
      <c r="Y14" t="inlineStr" s="7">
        <is>
          <t xml:space="preserve">JBS / David</t>
        </is>
      </c>
      <c r="Z14" t="inlineStr" s="8">
        <is>
          <t xml:space="preserve">20/07/2026</t>
        </is>
      </c>
      <c r="AA14" t="inlineStr" s="7">
        <is>
          <t xml:space="preserve">custom 19.0.1.0.15</t>
        </is>
      </c>
      <c r="AB14" s="7"/>
    </row>
    <row r="15" ht="95" customHeight="1">
      <c r="A15" t="inlineStr" s="9">
        <is>
          <t xml:space="preserve">T-14</t>
        </is>
      </c>
      <c r="B15" t="inlineStr" s="8">
        <is>
          <t xml:space="preserve">15/07/2026</t>
        </is>
      </c>
      <c r="C15" t="inlineStr" s="7">
        <is>
          <t xml:space="preserve">Mathieu Angibault</t>
        </is>
      </c>
      <c r="D15" s="7"/>
      <c r="E15" s="7"/>
      <c r="F15" t="inlineStr" s="7">
        <is>
          <t xml:space="preserve">Ventes / Devis</t>
        </is>
      </c>
      <c r="G15" t="inlineStr" s="7">
        <is>
          <t xml:space="preserve">Ventes &gt; Affaire &gt; Nouveau</t>
        </is>
      </c>
      <c r="H15" s="7"/>
      <c r="I15" t="inlineStr" s="7">
        <is>
          <t xml:space="preserve">Affaire</t>
        </is>
      </c>
      <c r="J15" s="7"/>
      <c r="K15" t="inlineStr" s="7">
        <is>
          <t xml:space="preserve">Impossible de creer une Affaire (droit manquant)</t>
        </is>
      </c>
      <c r="L15" t="inlineStr" s="7">
        <is>
          <t xml:space="preserve">Creation d'Affaire possible pour un profil commercial standard</t>
        </is>
      </c>
      <c r="M15" s="7"/>
      <c r="N15" t="inlineStr" s="7">
        <is>
          <t xml:space="preserve">Compte Mathieu Angibault, test direct via Ventes &gt; Affaire &gt; Nouveau &gt; Enregistrer</t>
        </is>
      </c>
      <c r="O15" s="7"/>
      <c r="P15" t="inlineStr" s="7">
        <is>
          <t xml:space="preserve">Oui - regression</t>
        </is>
      </c>
      <c r="Q15" s="7"/>
      <c r="R15" s="7"/>
      <c r="S15" s="7"/>
      <c r="T15" s="7"/>
      <c r="U15" t="inlineStr" s="7">
        <is>
          <t xml:space="preserve">Bloquant</t>
        </is>
      </c>
      <c r="V15" t="inlineStr" s="7">
        <is>
          <t xml:space="preserve">Corrige (ajout au groupe 'Utilisateur interne'), confirme en test direct le 17/07 en se connectant avec le compte de Mathieu. Reste a faire : confirmation finale par Mathieu lui-meme avec son propre mot de passe ; supprimer l'enregistrement de test x_affaire id=4093</t>
        </is>
      </c>
      <c r="W15" t="inlineStr" s="7">
        <is>
          <t xml:space="preserve">Corrige - a valider</t>
        </is>
      </c>
      <c r="X15" t="inlineStr" s="7">
        <is>
          <t xml:space="preserve">P0 - Bloquant</t>
        </is>
      </c>
      <c r="Y15" t="inlineStr" s="7">
        <is>
          <t xml:space="preserve">JBS</t>
        </is>
      </c>
      <c r="Z15" t="inlineStr" s="8">
        <is>
          <t xml:space="preserve">16/07/2026</t>
        </is>
      </c>
      <c r="AA15" s="7"/>
      <c r="AB15" t="inlineStr" s="7">
        <is>
          <t xml:space="preserve">Oui</t>
        </is>
      </c>
    </row>
    <row r="16" ht="95" customHeight="1">
      <c r="A16" t="inlineStr" s="9">
        <is>
          <t xml:space="preserve">T-15</t>
        </is>
      </c>
      <c r="B16" t="inlineStr" s="8">
        <is>
          <t xml:space="preserve">16/07/2026</t>
        </is>
      </c>
      <c r="C16" t="inlineStr" s="7">
        <is>
          <t xml:space="preserve">Emilien Davoine</t>
        </is>
      </c>
      <c r="D16" s="7"/>
      <c r="E16" s="7"/>
      <c r="F16" t="inlineStr" s="7">
        <is>
          <t xml:space="preserve">Planification / Capacite</t>
        </is>
      </c>
      <c r="G16" t="inlineStr" s="7">
        <is>
          <t xml:space="preserve">Planification capacite (vue Gantt hebdomadaire)</t>
        </is>
      </c>
      <c r="H16" s="7"/>
      <c r="I16" t="inlineStr" s="7">
        <is>
          <t xml:space="preserve">Autre / sans objet</t>
        </is>
      </c>
      <c r="J16" s="7"/>
      <c r="K16" t="inlineStr" s="7">
        <is>
          <t xml:space="preserve">Un conge d'1 jour retire la capacite de toute la semaine au lieu du seul jour concerne</t>
        </is>
      </c>
      <c r="L16" t="inlineStr" s="7">
        <is>
          <t xml:space="preserve">Seule la journee en conge doit voir sa capacite reduite</t>
        </is>
      </c>
      <c r="M16" s="7"/>
      <c r="N16" t="inlineStr" s="7">
        <is>
          <t xml:space="preserve">Conge Jessica PETIT du 19/06/2026 (~5h10, Compensatory Days) : calcul manuel = 5.0h (correct), valeur stockee en base = 0.0h (fausse)</t>
        </is>
      </c>
      <c r="O16" s="7"/>
      <c r="P16" s="7"/>
      <c r="Q16" s="7"/>
      <c r="R16" s="7"/>
      <c r="S16" s="7"/>
      <c r="T16" s="7"/>
      <c r="U16" t="inlineStr" s="7">
        <is>
          <t xml:space="preserve">Bloquant</t>
        </is>
      </c>
      <c r="V16" t="inlineStr" s="7">
        <is>
          <t xml:space="preserve">Confirme reellement faux (pas juste visuel). Cause : champ calcule stocke ne pouvant dependre directement d'une recherche sur les conges (limite structurelle Odoo) ; le cron quotidien ne recalculait jamais les semaines deja passees. Corrige : recalcul immediat a la creation/modification/suppression d'un conge + cron elargi (30 derniers jours)</t>
        </is>
      </c>
      <c r="W16" t="inlineStr" s="7">
        <is>
          <t xml:space="preserve">Corrige - a valider</t>
        </is>
      </c>
      <c r="X16" t="inlineStr" s="7">
        <is>
          <t xml:space="preserve">P0 - Bloquant</t>
        </is>
      </c>
      <c r="Y16" t="inlineStr" s="7">
        <is>
          <t xml:space="preserve">JBS</t>
        </is>
      </c>
      <c r="Z16" t="inlineStr" s="8">
        <is>
          <t xml:space="preserve">20/07/2026</t>
        </is>
      </c>
      <c r="AA16" t="inlineStr" s="7">
        <is>
          <t xml:space="preserve">mrp_capacity_planning 19.0.1.0.7</t>
        </is>
      </c>
      <c r="AB16" t="inlineStr" s="7">
        <is>
          <t xml:space="preserve">Oui</t>
        </is>
      </c>
    </row>
    <row r="17" ht="95" customHeight="1">
      <c r="A17" t="inlineStr" s="9">
        <is>
          <t xml:space="preserve">T-16</t>
        </is>
      </c>
      <c r="B17" t="inlineStr" s="8">
        <is>
          <t xml:space="preserve">16/07/2026</t>
        </is>
      </c>
      <c r="C17" t="inlineStr" s="7">
        <is>
          <t xml:space="preserve">Emilien Davoine</t>
        </is>
      </c>
      <c r="D17" s="7"/>
      <c r="E17" s="7"/>
      <c r="F17" t="inlineStr" s="7">
        <is>
          <t xml:space="preserve">Fabrication / OF</t>
        </is>
      </c>
      <c r="G17" t="inlineStr" s="7">
        <is>
          <t xml:space="preserve">Ordre de fabrication (formulaire)</t>
        </is>
      </c>
      <c r="H17" s="7"/>
      <c r="I17" t="inlineStr" s="7">
        <is>
          <t xml:space="preserve">Ordre de fabrication</t>
        </is>
      </c>
      <c r="J17" s="7"/>
      <c r="K17" t="inlineStr" s="7">
        <is>
          <t xml:space="preserve">Champ 'Niveau de complexite' absent de la vue formulaire de l'OF</t>
        </is>
      </c>
      <c r="L17" t="inlineStr" s="7">
        <is>
          <t xml:space="preserve">Champ visible et modifiable sur l'OF</t>
        </is>
      </c>
      <c r="M17" s="7"/>
      <c r="N17" s="7"/>
      <c r="O17" s="7"/>
      <c r="P17" t="inlineStr" s="7">
        <is>
          <t xml:space="preserve">Non - nouveau probleme</t>
        </is>
      </c>
      <c r="Q17" s="7"/>
      <c r="R17" s="7"/>
      <c r="S17" s="7"/>
      <c r="T17" s="7"/>
      <c r="U17" t="inlineStr" s="7">
        <is>
          <t xml:space="preserve">Genant</t>
        </is>
      </c>
      <c r="V17" t="inlineStr" s="7">
        <is>
          <t xml:space="preserve">Champ deja securise en code, ajoute a la vue formulaire ; refonte propre prevue post-v19 (Logical/Tech Design)</t>
        </is>
      </c>
      <c r="W17" t="inlineStr" s="7">
        <is>
          <t xml:space="preserve">Corrige - a valider</t>
        </is>
      </c>
      <c r="X17" t="inlineStr" s="7">
        <is>
          <t xml:space="preserve">P2</t>
        </is>
      </c>
      <c r="Y17" t="inlineStr" s="7">
        <is>
          <t xml:space="preserve">JBS</t>
        </is>
      </c>
      <c r="Z17" t="inlineStr" s="8">
        <is>
          <t xml:space="preserve">20/07/2026</t>
        </is>
      </c>
      <c r="AA17" t="inlineStr" s="7">
        <is>
          <t xml:space="preserve">custom 19.0.1.0.11</t>
        </is>
      </c>
      <c r="AB17" t="inlineStr" s="7">
        <is>
          <t xml:space="preserve">Oui</t>
        </is>
      </c>
    </row>
    <row r="18" ht="95" customHeight="1">
      <c r="A18" t="inlineStr" s="9">
        <is>
          <t xml:space="preserve">T-17</t>
        </is>
      </c>
      <c r="B18" t="inlineStr" s="8">
        <is>
          <t xml:space="preserve">16/07/2026</t>
        </is>
      </c>
      <c r="C18" t="inlineStr" s="7">
        <is>
          <t xml:space="preserve">Emilien Davoine</t>
        </is>
      </c>
      <c r="D18" s="7"/>
      <c r="E18" s="7"/>
      <c r="F18" t="inlineStr" s="7">
        <is>
          <t xml:space="preserve">Fabrication / OF</t>
        </is>
      </c>
      <c r="G18" t="inlineStr" s="7">
        <is>
          <t xml:space="preserve">Ordre de fabrication (acces aux PO lies)</t>
        </is>
      </c>
      <c r="H18" s="7"/>
      <c r="I18" t="inlineStr" s="7">
        <is>
          <t xml:space="preserve">Ordre de fabrication</t>
        </is>
      </c>
      <c r="J18" s="7"/>
      <c r="K18" t="inlineStr" s="7">
        <is>
          <t xml:space="preserve">Les commandes d'achat liees a l'OF ne sont plus accessibles depuis l'OF</t>
        </is>
      </c>
      <c r="L18" t="inlineStr" s="7">
        <is>
          <t xml:space="preserve">Acces aux PO lies depuis la fiche OF (smart-button ou equivalent)</t>
        </is>
      </c>
      <c r="M18" s="7"/>
      <c r="N18" s="7"/>
      <c r="O18" s="7"/>
      <c r="P18" t="inlineStr" s="7">
        <is>
          <t xml:space="preserve">Oui - regression</t>
        </is>
      </c>
      <c r="Q18" s="7"/>
      <c r="R18" s="7"/>
      <c r="S18" s="7"/>
      <c r="T18" s="7"/>
      <c r="U18" t="inlineStr" s="7">
        <is>
          <t xml:space="preserve">Genant</t>
        </is>
      </c>
      <c r="V18" t="inlineStr" s="7">
        <is>
          <t xml:space="preserve">Corrige uniquement dans le popup de replanification (commits du 13/07). Un smart-button 'Achats' standard existe deja nativement (module purchase_mrp) mais ne remonte pas les PO crees manuellement hors chaine d'approvisionnement. David reprend le sujet avec Jean</t>
        </is>
      </c>
      <c r="W18" t="inlineStr" s="7">
        <is>
          <t xml:space="preserve">Bug confirme</t>
        </is>
      </c>
      <c r="X18" t="inlineStr" s="7">
        <is>
          <t xml:space="preserve">P2</t>
        </is>
      </c>
      <c r="Y18" t="inlineStr" s="7">
        <is>
          <t xml:space="preserve">David</t>
        </is>
      </c>
      <c r="Z18" t="inlineStr" s="8">
        <is>
          <t xml:space="preserve">20/07/2026</t>
        </is>
      </c>
      <c r="AA18" s="7"/>
      <c r="AB18" s="7"/>
    </row>
    <row r="19" ht="95" customHeight="1">
      <c r="A19" t="inlineStr" s="9">
        <is>
          <t xml:space="preserve">T-18</t>
        </is>
      </c>
      <c r="B19" t="inlineStr" s="8">
        <is>
          <t xml:space="preserve">16/07/2026</t>
        </is>
      </c>
      <c r="C19" t="inlineStr" s="7">
        <is>
          <t xml:space="preserve">Emilien Davoine</t>
        </is>
      </c>
      <c r="D19" s="7"/>
      <c r="E19" s="7"/>
      <c r="F19" t="inlineStr" s="7">
        <is>
          <t xml:space="preserve">Planification / Capacite</t>
        </is>
      </c>
      <c r="G19" t="inlineStr" s="7">
        <is>
          <t xml:space="preserve">Menu 'Capacite par poste'</t>
        </is>
      </c>
      <c r="H19" s="7"/>
      <c r="I19" t="inlineStr" s="7">
        <is>
          <t xml:space="preserve">Autre / sans objet</t>
        </is>
      </c>
      <c r="J19" s="7"/>
      <c r="K19" t="inlineStr" s="7">
        <is>
          <t xml:space="preserve">Pas d'acces a l'ecran 'Capacite par poste' (erreur au chargement)</t>
        </is>
      </c>
      <c r="L19" t="inlineStr" s="7">
        <is>
          <t xml:space="preserve">Ecran accessible pour un profil utilisateur standard</t>
        </is>
      </c>
      <c r="M19" s="7"/>
      <c r="N19" s="7"/>
      <c r="O19" t="inlineStr" s="7">
        <is>
          <t xml:space="preserve">OwlError / this.child.mount is not a function</t>
        </is>
      </c>
      <c r="P19" s="7"/>
      <c r="Q19" s="7"/>
      <c r="R19" s="7"/>
      <c r="S19" s="7"/>
      <c r="T19" s="7"/>
      <c r="U19" t="inlineStr" s="7">
        <is>
          <t xml:space="preserve">Bloquant</t>
        </is>
      </c>
      <c r="V19" t="inlineStr" s="7">
        <is>
          <t xml:space="preserve">Droits verifies corrects (base.group_user, lecture/ecriture/creation), action et vue conformes, rien ne reproduit le crash cote serveur avec le contexte exact d'Emilien. Hypothese cache navigateur confirmee le 21/07 par test en navigateur entierement neuf (aucun cache/cookie) : ecran fonctionne parfaitement, 9 postes affiches, aucune erreur. Pas un bug de code ni de droits</t>
        </is>
      </c>
      <c r="W19" t="inlineStr" s="7">
        <is>
          <t xml:space="preserve">Ferme - pas un bug</t>
        </is>
      </c>
      <c r="X19" s="7"/>
      <c r="Y19" t="inlineStr" s="7">
        <is>
          <t xml:space="preserve">JBS</t>
        </is>
      </c>
      <c r="Z19" t="inlineStr" s="8">
        <is>
          <t xml:space="preserve">20/07/2026</t>
        </is>
      </c>
      <c r="AA19" s="7"/>
      <c r="AB19" t="inlineStr" s="7">
        <is>
          <t xml:space="preserve">Oui</t>
        </is>
      </c>
    </row>
    <row r="20" ht="95" customHeight="1">
      <c r="A20" t="inlineStr" s="9">
        <is>
          <t xml:space="preserve">T-19</t>
        </is>
      </c>
      <c r="B20" t="inlineStr" s="8">
        <is>
          <t xml:space="preserve">16/07/2026</t>
        </is>
      </c>
      <c r="C20" t="inlineStr" s="7">
        <is>
          <t xml:space="preserve">Emilien Davoine</t>
        </is>
      </c>
      <c r="D20" s="7"/>
      <c r="E20" s="7"/>
      <c r="F20" t="inlineStr" s="7">
        <is>
          <t xml:space="preserve">Fabrication / OF</t>
        </is>
      </c>
      <c r="G20" t="inlineStr" s="7">
        <is>
          <t xml:space="preserve">Ordre de fabrication &gt; Onglet Ordre de travail</t>
        </is>
      </c>
      <c r="H20" s="7"/>
      <c r="I20" t="inlineStr" s="7">
        <is>
          <t xml:space="preserve">Ordre de fabrication</t>
        </is>
      </c>
      <c r="J20" s="7"/>
      <c r="K20" t="inlineStr" s="7">
        <is>
          <t xml:space="preserve">Modification des heures prevues (duration_expected) impossible directement en ligne</t>
        </is>
      </c>
      <c r="L20" t="inlineStr" s="7">
        <is>
          <t xml:space="preserve">Champ modifiable en ligne comme avant</t>
        </is>
      </c>
      <c r="M20" s="7"/>
      <c r="N20" s="7"/>
      <c r="O20" s="7"/>
      <c r="P20" s="7"/>
      <c r="Q20" s="7"/>
      <c r="R20" s="7"/>
      <c r="S20" s="7"/>
      <c r="T20" s="7"/>
      <c r="U20" t="inlineStr" s="7">
        <is>
          <t xml:space="preserve">Genant</t>
        </is>
      </c>
      <c r="V20" t="inlineStr" s="7">
        <is>
          <t xml:space="preserve">Ferme en reunion : comportement standard v19 (readonly seulement si etat annule/termine), a traiter par le process plutot que le code. Teste en direct le 21/07 sur un OT reel en etat 'Pret' : ecriture reussie sans blocage - toujours besoin d'un OF + etat precis si le probleme se reproduit</t>
        </is>
      </c>
      <c r="W20" t="inlineStr" s="7">
        <is>
          <t xml:space="preserve">Ferme - pas un bug</t>
        </is>
      </c>
      <c r="X20" s="7"/>
      <c r="Y20" s="7"/>
      <c r="Z20" t="inlineStr" s="8">
        <is>
          <t xml:space="preserve">20/07/2026</t>
        </is>
      </c>
      <c r="AA20" s="7"/>
      <c r="AB20" t="inlineStr" s="7">
        <is>
          <t xml:space="preserve">Oui</t>
        </is>
      </c>
    </row>
    <row r="21" ht="95" customHeight="1">
      <c r="A21" t="inlineStr" s="9">
        <is>
          <t xml:space="preserve">T-20</t>
        </is>
      </c>
      <c r="B21" t="inlineStr" s="8">
        <is>
          <t xml:space="preserve">16/07/2026</t>
        </is>
      </c>
      <c r="C21" t="inlineStr" s="7">
        <is>
          <t xml:space="preserve">Emilien Davoine</t>
        </is>
      </c>
      <c r="D21" s="7"/>
      <c r="E21" s="7"/>
      <c r="F21" t="inlineStr" s="7">
        <is>
          <t xml:space="preserve">Planification / Capacite</t>
        </is>
      </c>
      <c r="G21" t="inlineStr" s="7">
        <is>
          <t xml:space="preserve">Capacite par poste (ex. Montage)</t>
        </is>
      </c>
      <c r="H21" s="7"/>
      <c r="I21" t="inlineStr" s="7">
        <is>
          <t xml:space="preserve">Autre / sans objet</t>
        </is>
      </c>
      <c r="J21" s="7"/>
      <c r="K21" t="inlineStr" s="7">
        <is>
          <t xml:space="preserve">80,1h / 3 ressources : le planning se fait avec une seule ressource au lieu de repartir sur les 3</t>
        </is>
      </c>
      <c r="L21" t="inlineStr" s="7">
        <is>
          <t xml:space="preserve">Reservation multi-ressources reelle</t>
        </is>
      </c>
      <c r="M21" s="7"/>
      <c r="N21" t="inlineStr" s="7">
        <is>
          <t xml:space="preserve">Poste Montage, seuil 80,1h</t>
        </is>
      </c>
      <c r="O21" s="7"/>
      <c r="P21" t="inlineStr" s="7">
        <is>
          <t xml:space="preserve">Non - meme comportement en v17, pas une regression (limite structurelle pre-existante)</t>
        </is>
      </c>
      <c r="Q21" s="7"/>
      <c r="R21" s="7"/>
      <c r="S21" s="7"/>
      <c r="T21" s="7"/>
      <c r="U21" t="inlineStr" s="7">
        <is>
          <t xml:space="preserve">Genant</t>
        </is>
      </c>
      <c r="V21" t="inlineStr" s="7">
        <is>
          <t xml:space="preserve">Confirme : le nombre de ressources ne fait que raccourcir la duree affichee, sans reservation multi-ressources reelle. Correctif ponctuel fait : champs Duree mini/maxi passes de Entier a Decimal (un seuil comme 80,1h etait tronque a 80, faussant le comparateur &gt;80h). Point restant a surveiller : recalcul des jours planifies apres replanification</t>
        </is>
      </c>
      <c r="W21" t="inlineStr" s="7">
        <is>
          <t xml:space="preserve">Corrige - a valider</t>
        </is>
      </c>
      <c r="X21" t="inlineStr" s="7">
        <is>
          <t xml:space="preserve">P2</t>
        </is>
      </c>
      <c r="Y21" t="inlineStr" s="7">
        <is>
          <t xml:space="preserve">JBS</t>
        </is>
      </c>
      <c r="Z21" t="inlineStr" s="8">
        <is>
          <t xml:space="preserve">20/07/2026</t>
        </is>
      </c>
      <c r="AA21" t="inlineStr" s="7">
        <is>
          <t xml:space="preserve">fma_studio_models 19.0.1.0.13</t>
        </is>
      </c>
      <c r="AB21" s="7"/>
    </row>
    <row r="22" ht="95" customHeight="1">
      <c r="A22" t="inlineStr" s="9">
        <is>
          <t xml:space="preserve">T-21</t>
        </is>
      </c>
      <c r="B22" t="inlineStr" s="8">
        <is>
          <t xml:space="preserve">16/07/2026</t>
        </is>
      </c>
      <c r="C22" t="inlineStr" s="7">
        <is>
          <t xml:space="preserve">Emilien Davoine</t>
        </is>
      </c>
      <c r="D22" s="7"/>
      <c r="E22" s="7"/>
      <c r="F22" t="inlineStr" s="7">
        <is>
          <t xml:space="preserve">Autre</t>
        </is>
      </c>
      <c r="G22" t="inlineStr" s="7">
        <is>
          <t xml:space="preserve">Filtres personnalises / modeles d'export Excel (plusieurs modules)</t>
        </is>
      </c>
      <c r="H22" s="7"/>
      <c r="I22" t="inlineStr" s="7">
        <is>
          <t xml:space="preserve">Autre / sans objet</t>
        </is>
      </c>
      <c r="J22" s="7"/>
      <c r="K22" t="inlineStr" s="7">
        <is>
          <t xml:space="preserve">Craint que les filtres et exports personnalises soient perdus</t>
        </is>
      </c>
      <c r="L22" t="inlineStr" s="7">
        <is>
          <t xml:space="preserve">Filtres et exports conserves apres migration</t>
        </is>
      </c>
      <c r="M22" s="7"/>
      <c r="N22" s="7"/>
      <c r="O22" s="7"/>
      <c r="P22" s="7"/>
      <c r="Q22" s="7"/>
      <c r="R22" s="7"/>
      <c r="S22" s="7"/>
      <c r="T22" s="7"/>
      <c r="U22" t="inlineStr" s="7">
        <is>
          <t xml:space="preserve">Amelioration souhaitee</t>
        </is>
      </c>
      <c r="V22" t="inlineStr" s="7">
        <is>
          <t xml:space="preserve">ir.filters et ir.exports sont des donnees utilisateur en base, non versionnees dans le code - hors perimetre dev. A verifier/sauvegarder directement en base (staging vers prod)</t>
        </is>
      </c>
      <c r="W22" t="inlineStr" s="7">
        <is>
          <t xml:space="preserve">Ferme - pas un bug</t>
        </is>
      </c>
      <c r="X22" s="7"/>
      <c r="Y22" s="7"/>
      <c r="Z22" t="inlineStr" s="8">
        <is>
          <t xml:space="preserve">20/07/2026</t>
        </is>
      </c>
      <c r="AA22" s="7"/>
      <c r="AB22" s="7"/>
    </row>
    <row r="23" ht="95" customHeight="1">
      <c r="A23" t="inlineStr" s="9">
        <is>
          <t xml:space="preserve">T-22</t>
        </is>
      </c>
      <c r="B23" t="inlineStr" s="8">
        <is>
          <t xml:space="preserve">16/07/2026</t>
        </is>
      </c>
      <c r="C23" t="inlineStr" s="7">
        <is>
          <t xml:space="preserve">Emilien Davoine</t>
        </is>
      </c>
      <c r="D23" s="7"/>
      <c r="E23" s="7"/>
      <c r="F23" t="inlineStr" s="7">
        <is>
          <t xml:space="preserve">Stock / Livraison</t>
        </is>
      </c>
      <c r="G23" t="inlineStr" s="7">
        <is>
          <t xml:space="preserve">Ecran de reception via douchette code-barres</t>
        </is>
      </c>
      <c r="H23" s="7"/>
      <c r="I23" t="inlineStr" s="7">
        <is>
          <t xml:space="preserve">Livraison / Transfert</t>
        </is>
      </c>
      <c r="J23" s="7"/>
      <c r="K23" t="inlineStr" s="7">
        <is>
          <t xml:space="preserve">Impossible d'acceder au mouvement de transfert via code-barres</t>
        </is>
      </c>
      <c r="L23" t="inlineStr" s="7">
        <is>
          <t xml:space="preserve">Ajouter le Numero de BL a l'ecran de reception code-barres</t>
        </is>
      </c>
      <c r="M23" s="7"/>
      <c r="N23" s="7"/>
      <c r="O23" s="7"/>
      <c r="P23" t="inlineStr" s="7">
        <is>
          <t xml:space="preserve">Non - nouveau probleme</t>
        </is>
      </c>
      <c r="Q23" s="7"/>
      <c r="R23" s="7"/>
      <c r="S23" s="7"/>
      <c r="T23" s="7"/>
      <c r="U23" t="inlineStr" s="7">
        <is>
          <t xml:space="preserve">Bloquant</t>
        </is>
      </c>
      <c r="V23" t="inlineStr" s="7">
        <is>
          <t xml:space="preserve">stock_barcode (Enterprise) installe mais base sur des composants JS/Owl (pas de vues XML classiques) - ajouter un champ demande une surcharge JS d'un outil utilise quotidiennement par les operateurs. En attente de confirmation Emilien/David sur le champ backend cible (origin existant vs nouveau champ dedie) avant de developper, pour ne pas risquer de casser un outil critique</t>
        </is>
      </c>
      <c r="W23" t="inlineStr" s="7">
        <is>
          <t xml:space="preserve">Standby / arbitrage requis</t>
        </is>
      </c>
      <c r="X23" t="inlineStr" s="7">
        <is>
          <t xml:space="preserve">P1</t>
        </is>
      </c>
      <c r="Y23" t="inlineStr" s="7">
        <is>
          <t xml:space="preserve">JBS</t>
        </is>
      </c>
      <c r="Z23" t="inlineStr" s="8">
        <is>
          <t xml:space="preserve">20/07/2026</t>
        </is>
      </c>
      <c r="AA23" s="7"/>
      <c r="AB23" s="7"/>
    </row>
    <row r="24" ht="95" customHeight="1">
      <c r="A24" t="inlineStr" s="9">
        <is>
          <t xml:space="preserve">T-23</t>
        </is>
      </c>
      <c r="B24" t="inlineStr" s="8">
        <is>
          <t xml:space="preserve">17/07/2026</t>
        </is>
      </c>
      <c r="C24" t="inlineStr" s="7">
        <is>
          <t xml:space="preserve">Emilien Davoine</t>
        </is>
      </c>
      <c r="D24" s="7"/>
      <c r="E24" s="7"/>
      <c r="F24" t="inlineStr" s="7">
        <is>
          <t xml:space="preserve">Achats</t>
        </is>
      </c>
      <c r="G24" t="inlineStr" s="7">
        <is>
          <t xml:space="preserve">Reception fournisseur &gt; Creation Facture Fournisseur en masse</t>
        </is>
      </c>
      <c r="H24" s="7"/>
      <c r="I24" t="inlineStr" s="7">
        <is>
          <t xml:space="preserve">Commande d'achat</t>
        </is>
      </c>
      <c r="J24" s="7"/>
      <c r="K24" t="inlineStr" s="7">
        <is>
          <t xml:space="preserve">La facture creee sur reception reste en brouillon (attendait une validation automatique)</t>
        </is>
      </c>
      <c r="L24" t="inlineStr" s="7">
        <is>
          <t xml:space="preserve">A clarifier : validation automatique de la facture attendue ?</t>
        </is>
      </c>
      <c r="M24" s="7"/>
      <c r="N24" s="7"/>
      <c r="O24" s="7"/>
      <c r="P24" t="inlineStr" s="7">
        <is>
          <t xml:space="preserve">Non - comportement standard Odoo, jamais d'auto-validation, portage fidele</t>
        </is>
      </c>
      <c r="Q24" s="7"/>
      <c r="R24" s="7"/>
      <c r="S24" s="7"/>
      <c r="T24" s="7"/>
      <c r="U24" t="inlineStr" s="7">
        <is>
          <t xml:space="preserve">Amelioration souhaitee</t>
        </is>
      </c>
      <c r="V24" t="inlineStr" s="7">
        <is>
          <t xml:space="preserve">Le bouton action_create_supplier_invoices plantait systematiquement avant le correctif du bug critique fma_custom/models (voir T-30) - n'avait jamais pu etre valide en conditions reelles avant le 21/07. A retester maintenant que le bouton fonctionne, pour clarifier s'il s'agit d'une vraie demande de redeveloppement</t>
        </is>
      </c>
      <c r="W24" t="inlineStr" s="7">
        <is>
          <t xml:space="preserve">Bug confirme</t>
        </is>
      </c>
      <c r="X24" t="inlineStr" s="7">
        <is>
          <t xml:space="preserve">P2</t>
        </is>
      </c>
      <c r="Y24" t="inlineStr" s="7">
        <is>
          <t xml:space="preserve">David</t>
        </is>
      </c>
      <c r="Z24" t="inlineStr" s="8">
        <is>
          <t xml:space="preserve">20/07/2026</t>
        </is>
      </c>
      <c r="AA24" s="7"/>
      <c r="AB24" s="7"/>
    </row>
    <row r="25" ht="95" customHeight="1">
      <c r="A25" t="inlineStr" s="9">
        <is>
          <t xml:space="preserve">T-24</t>
        </is>
      </c>
      <c r="B25" t="inlineStr" s="8">
        <is>
          <t xml:space="preserve">17/07/2026</t>
        </is>
      </c>
      <c r="C25" t="inlineStr" s="7">
        <is>
          <t xml:space="preserve">Emilien Davoine</t>
        </is>
      </c>
      <c r="D25" s="7"/>
      <c r="E25" s="7"/>
      <c r="F25" t="inlineStr" s="7">
        <is>
          <t xml:space="preserve">Fabrication / OF</t>
        </is>
      </c>
      <c r="G25" t="inlineStr" s="7">
        <is>
          <t xml:space="preserve">Module Atelier (ecran non localise)</t>
        </is>
      </c>
      <c r="H25" s="7"/>
      <c r="I25" t="inlineStr" s="7">
        <is>
          <t xml:space="preserve">Autre / sans objet</t>
        </is>
      </c>
      <c r="J25" s="7"/>
      <c r="K25" t="inlineStr" s="7">
        <is>
          <t xml:space="preserve">Composants manquants affiches sous une etiquette 'Affaire' peu lisible</t>
        </is>
      </c>
      <c r="L25" t="inlineStr" s="7">
        <is>
          <t xml:space="preserve">Etiquette lisible / ecran clarifie</t>
        </is>
      </c>
      <c r="M25" s="7"/>
      <c r="N25" s="7"/>
      <c r="O25" s="7"/>
      <c r="P25" s="7"/>
      <c r="Q25" s="7"/>
      <c r="R25" s="7"/>
      <c r="S25" s="7"/>
      <c r="T25" s="7"/>
      <c r="U25" t="inlineStr" s="7">
        <is>
          <t xml:space="preserve">Amelioration souhaitee</t>
        </is>
      </c>
      <c r="V25" t="inlineStr" s="7">
        <is>
          <t xml:space="preserve">Ecran exact non localise dans fma_atelier (aucune logique de composants manquants trouvee). Le symptome ('etiquette peu lisible') correspond au bug systemique _rec_name deja corrige (voir T-31) - probablement deja resolu par ce correctif meme sans avoir localise l'ecran exact. Differe, non prioritaire</t>
        </is>
      </c>
      <c r="W25" t="inlineStr" s="7">
        <is>
          <t xml:space="preserve">Standby / arbitrage requis</t>
        </is>
      </c>
      <c r="X25" t="inlineStr" s="7">
        <is>
          <t xml:space="preserve">Differe</t>
        </is>
      </c>
      <c r="Y25" t="inlineStr" s="7">
        <is>
          <t xml:space="preserve">JBS</t>
        </is>
      </c>
      <c r="Z25" t="inlineStr" s="8">
        <is>
          <t xml:space="preserve">20/07/2026</t>
        </is>
      </c>
      <c r="AA25" s="7"/>
      <c r="AB25" s="7"/>
    </row>
    <row r="26" ht="95" customHeight="1">
      <c r="A26" t="inlineStr" s="9">
        <is>
          <t xml:space="preserve">T-25</t>
        </is>
      </c>
      <c r="B26" s="8"/>
      <c r="C26" t="inlineStr" s="7">
        <is>
          <t xml:space="preserve">CLEGIS (nom non decode)</t>
        </is>
      </c>
      <c r="D26" s="7"/>
      <c r="E26" s="7"/>
      <c r="F26" t="inlineStr" s="7">
        <is>
          <t xml:space="preserve">Achats</t>
        </is>
      </c>
      <c r="G26" t="inlineStr" s="7">
        <is>
          <t xml:space="preserve">Commande d'achat (champ Reference)</t>
        </is>
      </c>
      <c r="H26" s="7"/>
      <c r="I26" t="inlineStr" s="7">
        <is>
          <t xml:space="preserve">Commande d'achat</t>
        </is>
      </c>
      <c r="J26" s="7"/>
      <c r="K26" t="inlineStr" s="7">
        <is>
          <t xml:space="preserve">Champ Reference non renseigne sur un cas precis</t>
        </is>
      </c>
      <c r="L26" t="inlineStr" s="7">
        <is>
          <t xml:space="preserve">A verifier sur le cas precis signale (lien de la commande transmis en reunion)</t>
        </is>
      </c>
      <c r="M26" s="7"/>
      <c r="N26" s="7"/>
      <c r="O26" s="7"/>
      <c r="P26" s="7"/>
      <c r="Q26" s="7"/>
      <c r="R26" s="7"/>
      <c r="S26" s="7"/>
      <c r="T26" s="7"/>
      <c r="U26" t="inlineStr" s="7">
        <is>
          <t xml:space="preserve">Amelioration souhaitee</t>
        </is>
      </c>
      <c r="V26" t="inlineStr" s="7">
        <is>
          <t xml:space="preserve">Clarifie : le champ se renseigne par defaut avec les initiales de l'utilisateur connecte, modifiable manuellement - fonctionnement confirme. Le lien vers la commande concernee evoque en reunion n'a jamais ete transmis pour verification ciblee</t>
        </is>
      </c>
      <c r="W26" t="inlineStr" s="7">
        <is>
          <t xml:space="preserve">Standby / arbitrage requis</t>
        </is>
      </c>
      <c r="X26" t="inlineStr" s="7">
        <is>
          <t xml:space="preserve">P2</t>
        </is>
      </c>
      <c r="Y26" s="7"/>
      <c r="Z26" t="inlineStr" s="8">
        <is>
          <t xml:space="preserve">20/07/2026</t>
        </is>
      </c>
      <c r="AA26" s="7"/>
      <c r="AB26" s="7"/>
    </row>
    <row r="27" ht="95" customHeight="1">
      <c r="A27" t="inlineStr" s="9">
        <is>
          <t xml:space="preserve">T-26</t>
        </is>
      </c>
      <c r="B27" s="8"/>
      <c r="C27" t="inlineStr" s="7">
        <is>
          <t xml:space="preserve">CLEGIS (nom non decode)</t>
        </is>
      </c>
      <c r="D27" s="7"/>
      <c r="E27" s="7"/>
      <c r="F27" t="inlineStr" s="7">
        <is>
          <t xml:space="preserve">Achats</t>
        </is>
      </c>
      <c r="G27" t="inlineStr" s="7">
        <is>
          <t xml:space="preserve">Commande d'achat vitrage</t>
        </is>
      </c>
      <c r="H27" s="7"/>
      <c r="I27" t="inlineStr" s="7">
        <is>
          <t xml:space="preserve">Commande d'achat</t>
        </is>
      </c>
      <c r="J27" s="7"/>
      <c r="K27" t="inlineStr" s="7">
        <is>
          <t xml:space="preserve">La remise fournisseur n'apparait pas</t>
        </is>
      </c>
      <c r="L27" t="inlineStr" s="7">
        <is>
          <t xml:space="preserve">Champ remise visible sur la commande</t>
        </is>
      </c>
      <c r="M27" s="7"/>
      <c r="N27" s="7"/>
      <c r="O27" s="7"/>
      <c r="P27" t="inlineStr" s="7">
        <is>
          <t xml:space="preserve">Non - nouveau probleme</t>
        </is>
      </c>
      <c r="Q27" s="7"/>
      <c r="R27" s="7"/>
      <c r="S27" s="7"/>
      <c r="T27" s="7"/>
      <c r="U27" t="inlineStr" s="7">
        <is>
          <t xml:space="preserve">Genant</t>
        </is>
      </c>
      <c r="V27" t="inlineStr" s="7">
        <is>
          <t xml:space="preserve">Rejoint T-13 : champ expose via le meme correctif (x_is_glazing_order). Auto-application du taux de remise en standby</t>
        </is>
      </c>
      <c r="W27" t="inlineStr" s="7">
        <is>
          <t xml:space="preserve">Corrige - a valider</t>
        </is>
      </c>
      <c r="X27" t="inlineStr" s="7">
        <is>
          <t xml:space="preserve">P2</t>
        </is>
      </c>
      <c r="Y27" t="inlineStr" s="7">
        <is>
          <t xml:space="preserve">JBS</t>
        </is>
      </c>
      <c r="Z27" t="inlineStr" s="8">
        <is>
          <t xml:space="preserve">20/07/2026</t>
        </is>
      </c>
      <c r="AA27" t="inlineStr" s="7">
        <is>
          <t xml:space="preserve">custom 19.0.1.0.15</t>
        </is>
      </c>
      <c r="AB27" s="7"/>
    </row>
    <row r="28" ht="95" customHeight="1">
      <c r="A28" t="inlineStr" s="9">
        <is>
          <t xml:space="preserve">T-27</t>
        </is>
      </c>
      <c r="B28" s="8"/>
      <c r="C28" t="inlineStr" s="7">
        <is>
          <t xml:space="preserve">CLEGIS (nom non decode)</t>
        </is>
      </c>
      <c r="D28" s="7"/>
      <c r="E28" s="7"/>
      <c r="F28" t="inlineStr" s="7">
        <is>
          <t xml:space="preserve">Achats</t>
        </is>
      </c>
      <c r="G28" t="inlineStr" s="7">
        <is>
          <t xml:space="preserve">Export analytique par ligne</t>
        </is>
      </c>
      <c r="H28" s="7"/>
      <c r="I28" t="inlineStr" s="7">
        <is>
          <t xml:space="preserve">Commande d'achat</t>
        </is>
      </c>
      <c r="J28" s="7"/>
      <c r="K28" t="inlineStr" s="7">
        <is>
          <t xml:space="preserve">Analytique par ligne non renseigne a l'export</t>
        </is>
      </c>
      <c r="L28" t="inlineStr" s="7">
        <is>
          <t xml:space="preserve">A preciser</t>
        </is>
      </c>
      <c r="M28" s="7"/>
      <c r="N28" s="7"/>
      <c r="O28" s="7"/>
      <c r="P28" s="7"/>
      <c r="Q28" s="7"/>
      <c r="R28" s="7"/>
      <c r="S28" s="7"/>
      <c r="T28" s="7"/>
      <c r="U28" t="inlineStr" s="7">
        <is>
          <t xml:space="preserve">Genant</t>
        </is>
      </c>
      <c r="V28" t="inlineStr" s="7">
        <is>
          <t xml:space="preserve">Standby, David travaille le sujet separement (repartition analytique depuis le Projet du SO)</t>
        </is>
      </c>
      <c r="W28" t="inlineStr" s="7">
        <is>
          <t xml:space="preserve">Standby / arbitrage requis</t>
        </is>
      </c>
      <c r="X28" t="inlineStr" s="7">
        <is>
          <t xml:space="preserve">Differe</t>
        </is>
      </c>
      <c r="Y28" t="inlineStr" s="7">
        <is>
          <t xml:space="preserve">David</t>
        </is>
      </c>
      <c r="Z28" t="inlineStr" s="8">
        <is>
          <t xml:space="preserve">20/07/2026</t>
        </is>
      </c>
      <c r="AA28" s="7"/>
      <c r="AB28" s="7"/>
    </row>
    <row r="29" ht="95" customHeight="1">
      <c r="A29" t="inlineStr" s="9">
        <is>
          <t xml:space="preserve">T-28</t>
        </is>
      </c>
      <c r="B29" s="8"/>
      <c r="C29" t="inlineStr" s="7">
        <is>
          <t xml:space="preserve">CLEGIS (nom non decode)</t>
        </is>
      </c>
      <c r="D29" s="7"/>
      <c r="E29" s="7"/>
      <c r="F29" t="inlineStr" s="7">
        <is>
          <t xml:space="preserve">Stock / Livraison</t>
        </is>
      </c>
      <c r="G29" t="inlineStr" s="7">
        <is>
          <t xml:space="preserve">Transfert de livraison, site LA REGRIPPIERE (LRE-Prefabrication)</t>
        </is>
      </c>
      <c r="H29" s="7"/>
      <c r="I29" t="inlineStr" s="7">
        <is>
          <t xml:space="preserve">Livraison / Transfert</t>
        </is>
      </c>
      <c r="J29" s="7"/>
      <c r="K29" t="inlineStr" s="7">
        <is>
          <t xml:space="preserve">2 onglets affiches sur l'ecran de livraison, un seul attendu</t>
        </is>
      </c>
      <c r="L29" t="inlineStr" s="7">
        <is>
          <t xml:space="preserve">1 seul onglet</t>
        </is>
      </c>
      <c r="M29" s="7"/>
      <c r="N29" t="inlineStr" s="7">
        <is>
          <t xml:space="preserve">Picking type 'Collecter les composants' (LA REGRIPPIERE id=28, 8388 transferts ; LA REMAUDIERE id=34, 1748 transferts)</t>
        </is>
      </c>
      <c r="O29" s="7"/>
      <c r="P29" s="7"/>
      <c r="Q29" s="7"/>
      <c r="R29" s="7"/>
      <c r="S29" t="inlineStr" s="7">
        <is>
          <t xml:space="preserve">Non</t>
        </is>
      </c>
      <c r="T29" s="7"/>
      <c r="U29" t="inlineStr" s="7">
        <is>
          <t xml:space="preserve">Genant</t>
        </is>
      </c>
      <c r="V29" t="inlineStr" s="7">
        <is>
          <t xml:space="preserve">Picking type candidat identifie ; ecran exact ou apparaissent les '2 onglets' non localise dans le code (probablement un ecran standard Odoo Inventaire sans personnalisation FMA). Mis de cote a la demande de l'utilisateur plutot que de deviner l'ecran - capture d'ecran necessaire pour trancher</t>
        </is>
      </c>
      <c r="W29" t="inlineStr" s="7">
        <is>
          <t xml:space="preserve">Standby / arbitrage requis</t>
        </is>
      </c>
      <c r="X29" t="inlineStr" s="7">
        <is>
          <t xml:space="preserve">P2</t>
        </is>
      </c>
      <c r="Y29" t="inlineStr" s="7">
        <is>
          <t xml:space="preserve">JBS</t>
        </is>
      </c>
      <c r="Z29" t="inlineStr" s="8">
        <is>
          <t xml:space="preserve">20/07/2026</t>
        </is>
      </c>
      <c r="AA29" s="7"/>
      <c r="AB29" s="7"/>
    </row>
    <row r="30" ht="95" customHeight="1">
      <c r="A30" t="inlineStr" s="9">
        <is>
          <t xml:space="preserve">T-29</t>
        </is>
      </c>
      <c r="B30" s="8"/>
      <c r="C30" t="inlineStr" s="7">
        <is>
          <t xml:space="preserve">Emilien Davoine</t>
        </is>
      </c>
      <c r="D30" s="7"/>
      <c r="E30" s="7"/>
      <c r="F30" t="inlineStr" s="7">
        <is>
          <t xml:space="preserve">Achats</t>
        </is>
      </c>
      <c r="G30" t="inlineStr" s="7">
        <is>
          <t xml:space="preserve">Renvoi manuel XML SFTP</t>
        </is>
      </c>
      <c r="H30" s="7"/>
      <c r="I30" t="inlineStr" s="7">
        <is>
          <t xml:space="preserve">Commande d'achat</t>
        </is>
      </c>
      <c r="J30" s="7"/>
      <c r="K30" t="inlineStr" s="7">
        <is>
          <t xml:space="preserve">Le renvoi manuel du XML par SFTP est bloque</t>
        </is>
      </c>
      <c r="L30" t="inlineStr" s="7">
        <is>
          <t xml:space="preserve">Bouton/action de renvoi manuel fonctionnel</t>
        </is>
      </c>
      <c r="M30" s="7"/>
      <c r="N30" s="7"/>
      <c r="O30" s="7"/>
      <c r="P30" s="7"/>
      <c r="Q30" s="7"/>
      <c r="R30" s="7"/>
      <c r="S30" s="7"/>
      <c r="T30" s="7"/>
      <c r="U30" t="inlineStr" s="7">
        <is>
          <t xml:space="preserve">Genant</t>
        </is>
      </c>
      <c r="V30" t="inlineStr" s="7">
        <is>
          <t xml:space="preserve">Nouvelle demande confirmee en reunion, pas d'action JBS - David en responsable</t>
        </is>
      </c>
      <c r="W30" t="inlineStr" s="7">
        <is>
          <t xml:space="preserve">Nouveau</t>
        </is>
      </c>
      <c r="X30" t="inlineStr" s="7">
        <is>
          <t xml:space="preserve">P2</t>
        </is>
      </c>
      <c r="Y30" t="inlineStr" s="7">
        <is>
          <t xml:space="preserve">David</t>
        </is>
      </c>
      <c r="Z30" t="inlineStr" s="8">
        <is>
          <t xml:space="preserve">20/07/2026</t>
        </is>
      </c>
      <c r="AA30" s="7"/>
      <c r="AB30" s="7"/>
    </row>
    <row r="31" ht="95" customHeight="1">
      <c r="A31" t="inlineStr" s="9">
        <is>
          <t xml:space="preserve">T-30</t>
        </is>
      </c>
      <c r="B31" t="inlineStr" s="8">
        <is>
          <t xml:space="preserve">21/07/2026</t>
        </is>
      </c>
      <c r="C31" s="7"/>
      <c r="D31" s="7"/>
      <c r="E31" s="7"/>
      <c r="F31" t="inlineStr" s="7">
        <is>
          <t xml:space="preserve">Achats</t>
        </is>
      </c>
      <c r="G31" t="inlineStr" s="7">
        <is>
          <t xml:space="preserve">Actions utilisant fma_custom (menu Actions &gt; 'Fichier clients Iziqo', 'Creation Facture Fournisseur en masse')</t>
        </is>
      </c>
      <c r="H31" s="7"/>
      <c r="I31" t="inlineStr" s="7">
        <is>
          <t xml:space="preserve">Autre / sans objet</t>
        </is>
      </c>
      <c r="J31" s="7"/>
      <c r="K31" t="inlineStr" s="7">
        <is>
          <t xml:space="preserve">fma_custom/__init__.py n'importait que 'wizard', jamais 'models' : les 6 fichiers de fma_custom/models/ n'etaient jamais charges dans le registre ORM malgre le module marque installe</t>
        </is>
      </c>
      <c r="L31" t="inlineStr" s="7">
        <is>
          <t xml:space="preserve">Les modeles de fma_custom doivent etre charges et actifs</t>
        </is>
      </c>
      <c r="M31" s="7"/>
      <c r="N31" s="7"/>
      <c r="O31" t="inlineStr" s="7">
        <is>
          <t xml:space="preserve">AttributeError sur res.partner.action_export_iziqo_customers et stock.picking.action_create_supplier_invoices</t>
        </is>
      </c>
      <c r="P31" t="inlineStr" s="7">
        <is>
          <t xml:space="preserve">Oui - regression silencieuse (jamais fonctionnel depuis le portage, masque par les automatisations Studio encore actives)</t>
        </is>
      </c>
      <c r="Q31" s="7"/>
      <c r="R31" s="7"/>
      <c r="S31" s="7"/>
      <c r="T31" s="7"/>
      <c r="U31" t="inlineStr" s="7">
        <is>
          <t xml:space="preserve">Bloquant</t>
        </is>
      </c>
      <c r="V31" t="inlineStr" s="7">
        <is>
          <t xml:space="preserve">Decouverte critique du 21/07/2026 en reprenant un point non resolu. 2 actions cliquables reelles plantaient pour quiconque cliquait dessus (voir T-23) ; un cron desactive par defaut aurait aussi plante s'il avait ete active. Point de vigilance : reactive aussi une propagation analytique deja geree par l'automatisation Studio equivalente (calcul redondant mais idempotent, pas de risque de double ecriture)</t>
        </is>
      </c>
      <c r="W31" t="inlineStr" s="7">
        <is>
          <t xml:space="preserve">Corrige - a valider</t>
        </is>
      </c>
      <c r="X31" t="inlineStr" s="7">
        <is>
          <t xml:space="preserve">P0 - Bloquant</t>
        </is>
      </c>
      <c r="Y31" t="inlineStr" s="7">
        <is>
          <t xml:space="preserve">JBS</t>
        </is>
      </c>
      <c r="Z31" t="inlineStr" s="8">
        <is>
          <t xml:space="preserve">21/07/2026</t>
        </is>
      </c>
      <c r="AA31" t="inlineStr" s="7">
        <is>
          <t xml:space="preserve">fma_custom 19.0.1.0.4, commit 476c639</t>
        </is>
      </c>
      <c r="AB31" s="7"/>
    </row>
    <row r="32" ht="95" customHeight="1">
      <c r="A32" t="inlineStr" s="9">
        <is>
          <t xml:space="preserve">T-31</t>
        </is>
      </c>
      <c r="B32" t="inlineStr" s="8">
        <is>
          <t xml:space="preserve">17/07/2026</t>
        </is>
      </c>
      <c r="C32" s="7"/>
      <c r="D32" s="7"/>
      <c r="E32" s="7"/>
      <c r="F32" t="inlineStr" s="7">
        <is>
          <t xml:space="preserve">Autre</t>
        </is>
      </c>
      <c r="G32" t="inlineStr" s="7">
        <is>
          <t xml:space="preserve">Listes deroulantes / champs lies referencant un modele Studio (Affaire, Gamme, Serie, Capacite par poste, Reglements...)</t>
        </is>
      </c>
      <c r="H32" s="7"/>
      <c r="I32" t="inlineStr" s="7">
        <is>
          <t xml:space="preserve">Autre / sans objet</t>
        </is>
      </c>
      <c r="J32" s="7"/>
      <c r="K32" t="inlineStr" s="7">
        <is>
          <t xml:space="preserve">Valeurs affichees au format technique 'x_affaire_stage,1' au lieu du nom reel</t>
        </is>
      </c>
      <c r="L32" t="inlineStr" s="7">
        <is>
          <t xml:space="preserve">Nom lisible de l'enregistrement affiche partout</t>
        </is>
      </c>
      <c r="M32" s="7"/>
      <c r="N32" s="7"/>
      <c r="O32" s="7"/>
      <c r="P32" t="inlineStr" s="7">
        <is>
          <t xml:space="preserve">Non - nouveau probleme (aucun des 20 modeles portes depuis Studio ne declarait _rec_name)</t>
        </is>
      </c>
      <c r="Q32" s="7"/>
      <c r="R32" s="7"/>
      <c r="S32" s="7"/>
      <c r="T32" s="7"/>
      <c r="U32" t="inlineStr" s="7">
        <is>
          <t xml:space="preserve">Genant</t>
        </is>
      </c>
      <c r="V32" t="inlineStr" s="7">
        <is>
          <t xml:space="preserve">Decouvert en testant T-14 (droit affaire). Affecte potentiellement toutes les listes deroulantes et champs lies vers un x_affaire/x_gamme_mtn/x_serie_mtn/x_capacite_par_poste/x_reglements etc. dans toute l'application. Pourrait expliquer une partie de la confusion Projet/Affaire remontee ailleurs (T-05, T-11)</t>
        </is>
      </c>
      <c r="W32" t="inlineStr" s="7">
        <is>
          <t xml:space="preserve">Corrige - a valider</t>
        </is>
      </c>
      <c r="X32" t="inlineStr" s="7">
        <is>
          <t xml:space="preserve">P1</t>
        </is>
      </c>
      <c r="Y32" t="inlineStr" s="7">
        <is>
          <t xml:space="preserve">JBS</t>
        </is>
      </c>
      <c r="Z32" t="inlineStr" s="8">
        <is>
          <t xml:space="preserve">17/07/2026</t>
        </is>
      </c>
      <c r="AA32" t="inlineStr" s="7">
        <is>
          <t xml:space="preserve">fma_studio_models 19.0.1.0.9</t>
        </is>
      </c>
      <c r="AB32" s="7"/>
    </row>
    <row r="33" ht="95" customHeight="1">
      <c r="A33" t="inlineStr" s="9">
        <is>
          <t xml:space="preserve">T-32</t>
        </is>
      </c>
      <c r="B33" t="inlineStr" s="8">
        <is>
          <t xml:space="preserve">17/07/2026</t>
        </is>
      </c>
      <c r="C33" s="7"/>
      <c r="D33" s="7"/>
      <c r="E33" s="7"/>
      <c r="F33" t="inlineStr" s="7">
        <is>
          <t xml:space="preserve">Autre</t>
        </is>
      </c>
      <c r="G33" t="inlineStr" s="7">
        <is>
          <t xml:space="preserve">Listes deroulantes Gamme / Serie / Etape affaire / Remises et autres modeles Studio</t>
        </is>
      </c>
      <c r="H33" s="7"/>
      <c r="I33" t="inlineStr" s="7">
        <is>
          <t xml:space="preserve">Autre / sans objet</t>
        </is>
      </c>
      <c r="J33" s="7"/>
      <c r="K33" t="inlineStr" s="7">
        <is>
          <t xml:space="preserve">Valeurs affichees comme un dictionnaire de traduction brut, ex. {'en_US': 'Forster', 'fr_FR': 'Forster'} au lieu de 'Forster'</t>
        </is>
      </c>
      <c r="L33" t="inlineStr" s="7">
        <is>
          <t xml:space="preserve">Valeur traduite affichee normalement</t>
        </is>
      </c>
      <c r="M33" s="7"/>
      <c r="N33" s="7"/>
      <c r="O33" s="7"/>
      <c r="P33" t="inlineStr" s="7">
        <is>
          <t xml:space="preserve">Non - nouveau probleme (13 des 20 modeles ont x_name stocke en jsonb en base mais declare comme Char simple en Python, sans translate=True)</t>
        </is>
      </c>
      <c r="Q33" s="7"/>
      <c r="R33" s="7"/>
      <c r="S33" s="7"/>
      <c r="T33" s="7"/>
      <c r="U33" t="inlineStr" s="7">
        <is>
          <t xml:space="preserve">Genant</t>
        </is>
      </c>
      <c r="V33" t="inlineStr" s="7">
        <is>
          <t xml:space="preserve">Decouvert en retestant T-01 (Gamme/Serie). 16 champs concernes sur 9 modeles (x_affaire_stage, x_capacite_par_poste, x_delai_entre_operatio, x_gamme_mtn, x_serie_mtn, x_reglements, famille x_remise, etc.). x_affaire lui-meme non concerne (deja en character varying). Se cumulait avec T-31 sur l'ecran Etape d'affaire</t>
        </is>
      </c>
      <c r="W33" t="inlineStr" s="7">
        <is>
          <t xml:space="preserve">Corrige - a valider</t>
        </is>
      </c>
      <c r="X33" t="inlineStr" s="7">
        <is>
          <t xml:space="preserve">P1</t>
        </is>
      </c>
      <c r="Y33" t="inlineStr" s="7">
        <is>
          <t xml:space="preserve">JBS</t>
        </is>
      </c>
      <c r="Z33" t="inlineStr" s="8">
        <is>
          <t xml:space="preserve">17/07/2026</t>
        </is>
      </c>
      <c r="AA33" t="inlineStr" s="7">
        <is>
          <t xml:space="preserve">fma_studio_models 19.0.1.0.10</t>
        </is>
      </c>
      <c r="AB33" s="7"/>
    </row>
    <row r="34" ht="95" customHeight="1">
      <c r="A34" t="inlineStr" s="9">
        <is>
          <t xml:space="preserve">T-33</t>
        </is>
      </c>
      <c r="B34" t="inlineStr" s="8">
        <is>
          <t xml:space="preserve">17/07/2026</t>
        </is>
      </c>
      <c r="C34" t="inlineStr" s="7">
        <is>
          <t xml:space="preserve">Non attribue (probablement Elowen Gauthier)</t>
        </is>
      </c>
      <c r="D34" s="7"/>
      <c r="E34" s="7"/>
      <c r="F34" t="inlineStr" s="7">
        <is>
          <t xml:space="preserve">Achats</t>
        </is>
      </c>
      <c r="G34" t="inlineStr" s="7">
        <is>
          <t xml:space="preserve">Import fournisseurs (flux AllArticles, sqlite_connector)</t>
        </is>
      </c>
      <c r="H34" s="7"/>
      <c r="I34" t="inlineStr" s="7">
        <is>
          <t xml:space="preserve">Commande d'achat</t>
        </is>
      </c>
      <c r="J34" s="7"/>
      <c r="K34" t="inlineStr" s="7">
        <is>
          <t xml:space="preserve">Delais de reception de bon de commande mal estimes par Odoo</t>
        </is>
      </c>
      <c r="L34" t="inlineStr" s="7">
        <is>
          <t xml:space="preserve">Delai fournisseur reel repris depuis la source d'import</t>
        </is>
      </c>
      <c r="M34" s="7"/>
      <c r="N34" s="7"/>
      <c r="O34" s="7"/>
      <c r="P34" s="7"/>
      <c r="Q34" s="7"/>
      <c r="R34" s="7"/>
      <c r="S34" s="7"/>
      <c r="T34" s="7"/>
      <c r="U34" t="inlineStr" s="7">
        <is>
          <t xml:space="preserve">Genant</t>
        </is>
      </c>
      <c r="V34" t="inlineStr" s="7">
        <is>
          <t xml:space="preserve">Bug de code reel localise : sqlite_connector.py ligne 516 initialise delai=0 avant la boucle d'import AllArticles et ne le reaffecte jamais avant utilisation (ligne 675, product.supplierinfo.delay). Tout fournisseur importe via ce flux se retrouve avec un delai fige a 0 jour. Correctif impossible sans info externe : la requete SQL ne remonte aucune colonne de delai - besoin du schema source (quelle colonne d'AllArticles contient le vrai delai) ou d'une regle metier de valeur par defaut</t>
        </is>
      </c>
      <c r="W34" t="inlineStr" s="7">
        <is>
          <t xml:space="preserve">Standby / arbitrage requis</t>
        </is>
      </c>
      <c r="X34" t="inlineStr" s="7">
        <is>
          <t xml:space="preserve">P1</t>
        </is>
      </c>
      <c r="Y34" t="inlineStr" s="7">
        <is>
          <t xml:space="preserve">JBS</t>
        </is>
      </c>
      <c r="Z34" t="inlineStr" s="8">
        <is>
          <t xml:space="preserve">21/07/2026</t>
        </is>
      </c>
      <c r="AA34" s="7"/>
      <c r="AB34" s="7"/>
    </row>
    <row r="35" ht="95" customHeight="1">
      <c r="A35" t="inlineStr" s="9">
        <is>
          <t xml:space="preserve">T-34</t>
        </is>
      </c>
      <c r="B35" t="inlineStr" s="8">
        <is>
          <t xml:space="preserve">17/07/2026</t>
        </is>
      </c>
      <c r="C35" t="inlineStr" s="7">
        <is>
          <t xml:space="preserve">Non attribue (probablement Elowen Gauthier)</t>
        </is>
      </c>
      <c r="D35" s="7"/>
      <c r="E35" s="7"/>
      <c r="F35" t="inlineStr" s="7">
        <is>
          <t xml:space="preserve">Achats</t>
        </is>
      </c>
      <c r="G35" t="inlineStr" s="7">
        <is>
          <t xml:space="preserve">Reglages &gt; Technique &gt; Sequences (purchase.order)</t>
        </is>
      </c>
      <c r="H35" s="7"/>
      <c r="I35" t="inlineStr" s="7">
        <is>
          <t xml:space="preserve">Commande d'achat</t>
        </is>
      </c>
      <c r="J35" t="inlineStr" s="7">
        <is>
          <t xml:space="preserve">P27214</t>
        </is>
      </c>
      <c r="K35" t="inlineStr" s="7">
        <is>
          <t xml:space="preserve">Numeros de commandes non generes</t>
        </is>
      </c>
      <c r="L35" t="inlineStr" s="7">
        <is>
          <t xml:space="preserve">Sequence purchase.order fonctionnelle</t>
        </is>
      </c>
      <c r="M35" s="7"/>
      <c r="N35" t="inlineStr" s="7">
        <is>
          <t xml:space="preserve">27214 commandes existantes, derniere P27214</t>
        </is>
      </c>
      <c r="O35" s="7"/>
      <c r="P35" s="7"/>
      <c r="Q35" s="7"/>
      <c r="R35" s="7"/>
      <c r="S35" s="7"/>
      <c r="T35" s="7"/>
      <c r="U35" t="inlineStr" s="7">
        <is>
          <t xml:space="preserve">Bloquant</t>
        </is>
      </c>
      <c r="V35" t="inlineStr" s="7">
        <is>
          <t xml:space="preserve">Aucun bug de code trouve (sequence standard non redefinie). Verifie en base le 21/07 : ir_sequence pour purchase.order avait number_next=1 malgre 27214 commandes deja creees - le prochain achat aurait ete numerote P1. Corrige dans la base de test locale (number_next -&gt; 27215). Pas un bug de code : la meme verification est a faire en production, ou le meme probleme est susceptible d'exister</t>
        </is>
      </c>
      <c r="W35" t="inlineStr" s="7">
        <is>
          <t xml:space="preserve">Bug confirme</t>
        </is>
      </c>
      <c r="X35" t="inlineStr" s="7">
        <is>
          <t xml:space="preserve">P0 - Bloquant</t>
        </is>
      </c>
      <c r="Y35" t="inlineStr" s="7">
        <is>
          <t xml:space="preserve">JBS</t>
        </is>
      </c>
      <c r="Z35" t="inlineStr" s="8">
        <is>
          <t xml:space="preserve">21/07/2026</t>
        </is>
      </c>
      <c r="AA35" s="7"/>
      <c r="AB35" s="7"/>
    </row>
    <row r="36" ht="95" customHeight="1">
      <c r="A36" t="inlineStr" s="9">
        <is>
          <t xml:space="preserve">T-35</t>
        </is>
      </c>
      <c r="B36" t="inlineStr" s="8">
        <is>
          <t xml:space="preserve">17/07/2026</t>
        </is>
      </c>
      <c r="C36" t="inlineStr" s="7">
        <is>
          <t xml:space="preserve">Non attribue (probablement Elowen Gauthier)</t>
        </is>
      </c>
      <c r="D36" s="7"/>
      <c r="E36" s="7"/>
      <c r="F36" t="inlineStr" s="7">
        <is>
          <t xml:space="preserve">Achats</t>
        </is>
      </c>
      <c r="G36" t="inlineStr" s="7">
        <is>
          <t xml:space="preserve">Export PO format Comalu (SFTP)</t>
        </is>
      </c>
      <c r="H36" s="7"/>
      <c r="I36" t="inlineStr" s="7">
        <is>
          <t xml:space="preserve">Commande d'achat</t>
        </is>
      </c>
      <c r="J36" t="inlineStr" s="7">
        <is>
          <t xml:space="preserve">P05545</t>
        </is>
      </c>
      <c r="K36" t="inlineStr" s="7">
        <is>
          <t xml:space="preserve">Lignes XML manquantes a l'export d'une commande au format Comalu</t>
        </is>
      </c>
      <c r="L36" t="inlineStr" s="7">
        <is>
          <t xml:space="preserve">Toutes les lignes pertinentes doivent apparaitre dans le XML</t>
        </is>
      </c>
      <c r="M36" s="7"/>
      <c r="N36" t="inlineStr" s="7">
        <is>
          <t xml:space="preserve">Commande P05545 (55 lignes), contient une ligne avec default_code='affaire'</t>
        </is>
      </c>
      <c r="O36" s="7"/>
      <c r="P36" s="7"/>
      <c r="Q36" s="7"/>
      <c r="R36" s="7"/>
      <c r="S36" s="7"/>
      <c r="T36" s="7"/>
      <c r="U36" t="inlineStr" s="7">
        <is>
          <t xml:space="preserve">Genant</t>
        </is>
      </c>
      <c r="V36" t="inlineStr" s="7">
        <is>
          <t xml:space="preserve">Piste technique solide confirmee sur donnees reelles le 21/07 : le template d'export Comalu (et TIV, meme filtre) exclut silencieusement toute ligne dont le produit a pour reference interne exactement 'affaire'. Decision metier a prendre : filtre volontaire (lignes internes a ne jamais envoyer au fournisseur) ou a ajuster ?</t>
        </is>
      </c>
      <c r="W36" t="inlineStr" s="7">
        <is>
          <t xml:space="preserve">Standby / arbitrage requis</t>
        </is>
      </c>
      <c r="X36" t="inlineStr" s="7">
        <is>
          <t xml:space="preserve">P1</t>
        </is>
      </c>
      <c r="Y36" t="inlineStr" s="7">
        <is>
          <t xml:space="preserve">JBS</t>
        </is>
      </c>
      <c r="Z36" t="inlineStr" s="8">
        <is>
          <t xml:space="preserve">21/07/2026</t>
        </is>
      </c>
      <c r="AA36" s="7"/>
      <c r="AB36" s="7"/>
    </row>
    <row r="37">
      <c r="A37" s="2"/>
      <c r="B37" s="12"/>
      <c r="C37" s="2"/>
      <c r="D37" s="2"/>
      <c r="E37" s="2"/>
      <c r="F37" s="2"/>
      <c r="G37" s="2"/>
      <c r="H37" s="2"/>
      <c r="I37" s="2"/>
      <c r="J37" s="2"/>
      <c r="K37" s="2"/>
      <c r="L37" s="2"/>
      <c r="M37" s="2"/>
      <c r="N37" s="2"/>
      <c r="O37" s="2"/>
      <c r="P37" s="2"/>
      <c r="Q37" s="2"/>
      <c r="R37" s="2"/>
      <c r="S37" s="2"/>
      <c r="T37" s="2"/>
      <c r="U37" s="2"/>
      <c r="V37" s="2"/>
      <c r="W37" s="2"/>
      <c r="X37" s="2"/>
      <c r="Y37" s="2"/>
      <c r="Z37" s="12"/>
      <c r="AA37" s="2"/>
      <c r="AB37" s="2"/>
    </row>
    <row r="38">
      <c r="A38" s="2"/>
      <c r="B38" s="12"/>
      <c r="C38" s="2"/>
      <c r="D38" s="2"/>
      <c r="E38" s="2"/>
      <c r="F38" s="2"/>
      <c r="G38" s="2"/>
      <c r="H38" s="2"/>
      <c r="I38" s="2"/>
      <c r="J38" s="2"/>
      <c r="K38" s="2"/>
      <c r="L38" s="2"/>
      <c r="M38" s="2"/>
      <c r="N38" s="2"/>
      <c r="O38" s="2"/>
      <c r="P38" s="2"/>
      <c r="Q38" s="2"/>
      <c r="R38" s="2"/>
      <c r="S38" s="2"/>
      <c r="T38" s="2"/>
      <c r="U38" s="2"/>
      <c r="V38" s="2"/>
      <c r="W38" s="2"/>
      <c r="X38" s="2"/>
      <c r="Y38" s="2"/>
      <c r="Z38" s="12"/>
      <c r="AA38" s="2"/>
      <c r="AB38" s="2"/>
    </row>
    <row r="39">
      <c r="A39" s="2"/>
      <c r="B39" s="12"/>
      <c r="C39" s="2"/>
      <c r="D39" s="2"/>
      <c r="E39" s="2"/>
      <c r="F39" s="2"/>
      <c r="G39" s="2"/>
      <c r="H39" s="2"/>
      <c r="I39" s="2"/>
      <c r="J39" s="2"/>
      <c r="K39" s="2"/>
      <c r="L39" s="2"/>
      <c r="M39" s="2"/>
      <c r="N39" s="2"/>
      <c r="O39" s="2"/>
      <c r="P39" s="2"/>
      <c r="Q39" s="2"/>
      <c r="R39" s="2"/>
      <c r="S39" s="2"/>
      <c r="T39" s="2"/>
      <c r="U39" s="2"/>
      <c r="V39" s="2"/>
      <c r="W39" s="2"/>
      <c r="X39" s="2"/>
      <c r="Y39" s="2"/>
      <c r="Z39" s="12"/>
      <c r="AA39" s="2"/>
      <c r="AB39" s="2"/>
    </row>
    <row r="40">
      <c r="A40" s="2"/>
      <c r="B40" s="12"/>
      <c r="C40" s="2"/>
      <c r="D40" s="2"/>
      <c r="E40" s="2"/>
      <c r="F40" s="2"/>
      <c r="G40" s="2"/>
      <c r="H40" s="2"/>
      <c r="I40" s="2"/>
      <c r="J40" s="2"/>
      <c r="K40" s="2"/>
      <c r="L40" s="2"/>
      <c r="M40" s="2"/>
      <c r="N40" s="2"/>
      <c r="O40" s="2"/>
      <c r="P40" s="2"/>
      <c r="Q40" s="2"/>
      <c r="R40" s="2"/>
      <c r="S40" s="2"/>
      <c r="T40" s="2"/>
      <c r="U40" s="2"/>
      <c r="V40" s="2"/>
      <c r="W40" s="2"/>
      <c r="X40" s="2"/>
      <c r="Y40" s="2"/>
      <c r="Z40" s="12"/>
      <c r="AA40" s="2"/>
      <c r="AB40" s="2"/>
    </row>
    <row r="41">
      <c r="A41" s="2"/>
      <c r="B41" s="12"/>
      <c r="C41" s="2"/>
      <c r="D41" s="2"/>
      <c r="E41" s="2"/>
      <c r="F41" s="2"/>
      <c r="G41" s="2"/>
      <c r="H41" s="2"/>
      <c r="I41" s="2"/>
      <c r="J41" s="2"/>
      <c r="K41" s="2"/>
      <c r="L41" s="2"/>
      <c r="M41" s="2"/>
      <c r="N41" s="2"/>
      <c r="O41" s="2"/>
      <c r="P41" s="2"/>
      <c r="Q41" s="2"/>
      <c r="R41" s="2"/>
      <c r="S41" s="2"/>
      <c r="T41" s="2"/>
      <c r="U41" s="2"/>
      <c r="V41" s="2"/>
      <c r="W41" s="2"/>
      <c r="X41" s="2"/>
      <c r="Y41" s="2"/>
      <c r="Z41" s="12"/>
      <c r="AA41" s="2"/>
      <c r="AB41" s="2"/>
    </row>
    <row r="42">
      <c r="A42" s="2"/>
      <c r="B42" s="12"/>
      <c r="C42" s="2"/>
      <c r="D42" s="2"/>
      <c r="E42" s="2"/>
      <c r="F42" s="2"/>
      <c r="G42" s="2"/>
      <c r="H42" s="2"/>
      <c r="I42" s="2"/>
      <c r="J42" s="2"/>
      <c r="K42" s="2"/>
      <c r="L42" s="2"/>
      <c r="M42" s="2"/>
      <c r="N42" s="2"/>
      <c r="O42" s="2"/>
      <c r="P42" s="2"/>
      <c r="Q42" s="2"/>
      <c r="R42" s="2"/>
      <c r="S42" s="2"/>
      <c r="T42" s="2"/>
      <c r="U42" s="2"/>
      <c r="V42" s="2"/>
      <c r="W42" s="2"/>
      <c r="X42" s="2"/>
      <c r="Y42" s="2"/>
      <c r="Z42" s="12"/>
      <c r="AA42" s="2"/>
      <c r="AB42" s="2"/>
    </row>
    <row r="43">
      <c r="A43" s="2"/>
      <c r="B43" s="12"/>
      <c r="C43" s="2"/>
      <c r="D43" s="2"/>
      <c r="E43" s="2"/>
      <c r="F43" s="2"/>
      <c r="G43" s="2"/>
      <c r="H43" s="2"/>
      <c r="I43" s="2"/>
      <c r="J43" s="2"/>
      <c r="K43" s="2"/>
      <c r="L43" s="2"/>
      <c r="M43" s="2"/>
      <c r="N43" s="2"/>
      <c r="O43" s="2"/>
      <c r="P43" s="2"/>
      <c r="Q43" s="2"/>
      <c r="R43" s="2"/>
      <c r="S43" s="2"/>
      <c r="T43" s="2"/>
      <c r="U43" s="2"/>
      <c r="V43" s="2"/>
      <c r="W43" s="2"/>
      <c r="X43" s="2"/>
      <c r="Y43" s="2"/>
      <c r="Z43" s="12"/>
      <c r="AA43" s="2"/>
      <c r="AB43" s="2"/>
    </row>
    <row r="44">
      <c r="A44" s="2"/>
      <c r="B44" s="12"/>
      <c r="C44" s="2"/>
      <c r="D44" s="2"/>
      <c r="E44" s="2"/>
      <c r="F44" s="2"/>
      <c r="G44" s="2"/>
      <c r="H44" s="2"/>
      <c r="I44" s="2"/>
      <c r="J44" s="2"/>
      <c r="K44" s="2"/>
      <c r="L44" s="2"/>
      <c r="M44" s="2"/>
      <c r="N44" s="2"/>
      <c r="O44" s="2"/>
      <c r="P44" s="2"/>
      <c r="Q44" s="2"/>
      <c r="R44" s="2"/>
      <c r="S44" s="2"/>
      <c r="T44" s="2"/>
      <c r="U44" s="2"/>
      <c r="V44" s="2"/>
      <c r="W44" s="2"/>
      <c r="X44" s="2"/>
      <c r="Y44" s="2"/>
      <c r="Z44" s="12"/>
      <c r="AA44" s="2"/>
      <c r="AB44" s="2"/>
    </row>
    <row r="45">
      <c r="A45" s="2"/>
      <c r="B45" s="12"/>
      <c r="C45" s="2"/>
      <c r="D45" s="2"/>
      <c r="E45" s="2"/>
      <c r="F45" s="2"/>
      <c r="G45" s="2"/>
      <c r="H45" s="2"/>
      <c r="I45" s="2"/>
      <c r="J45" s="2"/>
      <c r="K45" s="2"/>
      <c r="L45" s="2"/>
      <c r="M45" s="2"/>
      <c r="N45" s="2"/>
      <c r="O45" s="2"/>
      <c r="P45" s="2"/>
      <c r="Q45" s="2"/>
      <c r="R45" s="2"/>
      <c r="S45" s="2"/>
      <c r="T45" s="2"/>
      <c r="U45" s="2"/>
      <c r="V45" s="2"/>
      <c r="W45" s="2"/>
      <c r="X45" s="2"/>
      <c r="Y45" s="2"/>
      <c r="Z45" s="12"/>
      <c r="AA45" s="2"/>
      <c r="AB45" s="2"/>
    </row>
    <row r="46">
      <c r="A46" s="2"/>
      <c r="B46" s="12"/>
      <c r="C46" s="2"/>
      <c r="D46" s="2"/>
      <c r="E46" s="2"/>
      <c r="F46" s="2"/>
      <c r="G46" s="2"/>
      <c r="H46" s="2"/>
      <c r="I46" s="2"/>
      <c r="J46" s="2"/>
      <c r="K46" s="2"/>
      <c r="L46" s="2"/>
      <c r="M46" s="2"/>
      <c r="N46" s="2"/>
      <c r="O46" s="2"/>
      <c r="P46" s="2"/>
      <c r="Q46" s="2"/>
      <c r="R46" s="2"/>
      <c r="S46" s="2"/>
      <c r="T46" s="2"/>
      <c r="U46" s="2"/>
      <c r="V46" s="2"/>
      <c r="W46" s="2"/>
      <c r="X46" s="2"/>
      <c r="Y46" s="2"/>
      <c r="Z46" s="12"/>
      <c r="AA46" s="2"/>
      <c r="AB46" s="2"/>
    </row>
    <row r="47">
      <c r="A47" s="2"/>
      <c r="B47" s="12"/>
      <c r="C47" s="2"/>
      <c r="D47" s="2"/>
      <c r="E47" s="2"/>
      <c r="F47" s="2"/>
      <c r="G47" s="2"/>
      <c r="H47" s="2"/>
      <c r="I47" s="2"/>
      <c r="J47" s="2"/>
      <c r="K47" s="2"/>
      <c r="L47" s="2"/>
      <c r="M47" s="2"/>
      <c r="N47" s="2"/>
      <c r="O47" s="2"/>
      <c r="P47" s="2"/>
      <c r="Q47" s="2"/>
      <c r="R47" s="2"/>
      <c r="S47" s="2"/>
      <c r="T47" s="2"/>
      <c r="U47" s="2"/>
      <c r="V47" s="2"/>
      <c r="W47" s="2"/>
      <c r="X47" s="2"/>
      <c r="Y47" s="2"/>
      <c r="Z47" s="12"/>
      <c r="AA47" s="2"/>
      <c r="AB47" s="2"/>
    </row>
    <row r="48">
      <c r="A48" s="2"/>
      <c r="B48" s="12"/>
      <c r="C48" s="2"/>
      <c r="D48" s="2"/>
      <c r="E48" s="2"/>
      <c r="F48" s="2"/>
      <c r="G48" s="2"/>
      <c r="H48" s="2"/>
      <c r="I48" s="2"/>
      <c r="J48" s="2"/>
      <c r="K48" s="2"/>
      <c r="L48" s="2"/>
      <c r="M48" s="2"/>
      <c r="N48" s="2"/>
      <c r="O48" s="2"/>
      <c r="P48" s="2"/>
      <c r="Q48" s="2"/>
      <c r="R48" s="2"/>
      <c r="S48" s="2"/>
      <c r="T48" s="2"/>
      <c r="U48" s="2"/>
      <c r="V48" s="2"/>
      <c r="W48" s="2"/>
      <c r="X48" s="2"/>
      <c r="Y48" s="2"/>
      <c r="Z48" s="12"/>
      <c r="AA48" s="2"/>
      <c r="AB48" s="2"/>
    </row>
    <row r="49">
      <c r="A49" s="2"/>
      <c r="B49" s="12"/>
      <c r="C49" s="2"/>
      <c r="D49" s="2"/>
      <c r="E49" s="2"/>
      <c r="F49" s="2"/>
      <c r="G49" s="2"/>
      <c r="H49" s="2"/>
      <c r="I49" s="2"/>
      <c r="J49" s="2"/>
      <c r="K49" s="2"/>
      <c r="L49" s="2"/>
      <c r="M49" s="2"/>
      <c r="N49" s="2"/>
      <c r="O49" s="2"/>
      <c r="P49" s="2"/>
      <c r="Q49" s="2"/>
      <c r="R49" s="2"/>
      <c r="S49" s="2"/>
      <c r="T49" s="2"/>
      <c r="U49" s="2"/>
      <c r="V49" s="2"/>
      <c r="W49" s="2"/>
      <c r="X49" s="2"/>
      <c r="Y49" s="2"/>
      <c r="Z49" s="12"/>
      <c r="AA49" s="2"/>
      <c r="AB49" s="2"/>
    </row>
    <row r="50">
      <c r="A50" s="2"/>
      <c r="B50" s="12"/>
      <c r="C50" s="2"/>
      <c r="D50" s="2"/>
      <c r="E50" s="2"/>
      <c r="F50" s="2"/>
      <c r="G50" s="2"/>
      <c r="H50" s="2"/>
      <c r="I50" s="2"/>
      <c r="J50" s="2"/>
      <c r="K50" s="2"/>
      <c r="L50" s="2"/>
      <c r="M50" s="2"/>
      <c r="N50" s="2"/>
      <c r="O50" s="2"/>
      <c r="P50" s="2"/>
      <c r="Q50" s="2"/>
      <c r="R50" s="2"/>
      <c r="S50" s="2"/>
      <c r="T50" s="2"/>
      <c r="U50" s="2"/>
      <c r="V50" s="2"/>
      <c r="W50" s="2"/>
      <c r="X50" s="2"/>
      <c r="Y50" s="2"/>
      <c r="Z50" s="12"/>
      <c r="AA50" s="2"/>
      <c r="AB50" s="2"/>
    </row>
    <row r="51">
      <c r="A51" s="2"/>
      <c r="B51" s="12"/>
      <c r="C51" s="2"/>
      <c r="D51" s="2"/>
      <c r="E51" s="2"/>
      <c r="F51" s="2"/>
      <c r="G51" s="2"/>
      <c r="H51" s="2"/>
      <c r="I51" s="2"/>
      <c r="J51" s="2"/>
      <c r="K51" s="2"/>
      <c r="L51" s="2"/>
      <c r="M51" s="2"/>
      <c r="N51" s="2"/>
      <c r="O51" s="2"/>
      <c r="P51" s="2"/>
      <c r="Q51" s="2"/>
      <c r="R51" s="2"/>
      <c r="S51" s="2"/>
      <c r="T51" s="2"/>
      <c r="U51" s="2"/>
      <c r="V51" s="2"/>
      <c r="W51" s="2"/>
      <c r="X51" s="2"/>
      <c r="Y51" s="2"/>
      <c r="Z51" s="12"/>
      <c r="AA51" s="2"/>
      <c r="AB51" s="2"/>
    </row>
  </sheetData>
  <autoFilter ref="A1:AB1"/>
  <conditionalFormatting sqref="W2:W51">
    <cfRule type="cellIs" dxfId="0" priority="1" operator="equal">
      <formula>"Nouveau"</formula>
    </cfRule>
    <cfRule type="cellIs" dxfId="1" priority="2" operator="equal">
      <formula>"En cours d'analyse"</formula>
    </cfRule>
    <cfRule type="cellIs" dxfId="2" priority="3" operator="equal">
      <formula>"Bug confirme"</formula>
    </cfRule>
    <cfRule type="cellIs" dxfId="3" priority="4" operator="equal">
      <formula>"Corrige - a valider"</formula>
    </cfRule>
    <cfRule type="cellIs" dxfId="4" priority="5" operator="equal">
      <formula>"Ferme - pas un bug"</formula>
    </cfRule>
    <cfRule type="cellIs" dxfId="5" priority="6" operator="equal">
      <formula>"Standby / arbitrage requis"</formula>
    </cfRule>
    <cfRule type="cellIs" dxfId="6" priority="7" operator="equal">
      <formula>"Transfere a un tiers"</formula>
    </cfRule>
  </conditionalFormatting>
  <conditionalFormatting sqref="X2:X51">
    <cfRule type="cellIs" dxfId="6" priority="8" operator="equal">
      <formula>"P0 - Bloquant"</formula>
    </cfRule>
    <cfRule type="cellIs" dxfId="7" priority="9" operator="equal">
      <formula>"P1"</formula>
    </cfRule>
    <cfRule type="cellIs" dxfId="8" priority="10" operator="equal">
      <formula>"P2"</formula>
    </cfRule>
    <cfRule type="cellIs" dxfId="9" priority="11" operator="equal">
      <formula>"Differe"</formula>
    </cfRule>
  </conditionalFormatting>
  <conditionalFormatting sqref="U2:U51">
    <cfRule type="cellIs" dxfId="10" priority="12" operator="equal">
      <formula>"Bloquant"</formula>
    </cfRule>
    <cfRule type="cellIs" dxfId="11" priority="13" operator="equal">
      <formula>"Genant"</formula>
    </cfRule>
    <cfRule type="cellIs" dxfId="12" priority="14" operator="equal">
      <formula>"Amelioration souhaitee"</formula>
    </cfRule>
  </conditionalFormatting>
  <dataValidations count="11">
    <dataValidation type="list" allowBlank="1" showInputMessage="1" showErrorMessage="1" sqref="E2:E51">
      <formula1>"Production,Pre-production,A preciser"</formula1>
    </dataValidation>
    <dataValidation type="list" allowBlank="1" showInputMessage="1" showErrorMessage="1" sqref="F2:F51">
      <formula1>"Ventes / Devis,Achats,Fabrication / OF,Atelier,Stock / Livraison,Facturation,RH / Conges,Contacts / CRM,Planification / Capacite,Autre"</formula1>
    </dataValidation>
    <dataValidation type="list" allowBlank="1" showInputMessage="1" showErrorMessage="1" sqref="I2:I51">
      <formula1>"Devis,Commande d'achat,Affaire,Ordre de fabrication,Livraison / Transfert,Facture,Contact,Conge,Autre / sans objet"</formula1>
    </dataValidation>
    <dataValidation type="list" allowBlank="1" showInputMessage="1" showErrorMessage="1" sqref="P2:P51">
      <formula1>"Oui - regression,Non - nouveau probleme,Ne sait pas"</formula1>
    </dataValidation>
    <dataValidation type="list" allowBlank="1" showInputMessage="1" showErrorMessage="1" sqref="Q2:Q51">
      <formula1>"Systematique,Intermittent,Une seule fois / ne sait pas"</formula1>
    </dataValidation>
    <dataValidation type="list" allowBlank="1" showInputMessage="1" showErrorMessage="1" sqref="R2:R51">
      <formula1>"Chrome - PC bureau,Chrome - portable,Firefox,Edge,Safari,Autre / ne sait pas"</formula1>
    </dataValidation>
    <dataValidation type="list" allowBlank="1" showInputMessage="1" showErrorMessage="1" sqref="S2:S51">
      <formula1>"Oui - fichier joint,Oui - lien ci-dessous,Non"</formula1>
    </dataValidation>
    <dataValidation type="list" allowBlank="1" showInputMessage="1" showErrorMessage="1" sqref="U2:U51">
      <formula1>"Bloquant,Genant,Amelioration souhaitee"</formula1>
    </dataValidation>
    <dataValidation type="list" allowBlank="1" showInputMessage="1" showErrorMessage="1" sqref="W2:W51">
      <formula1>"Nouveau,En cours d'analyse,Bug confirme,Corrige - a valider,Ferme - pas un bug,Standby / arbitrage requis,Transfere a un tiers"</formula1>
    </dataValidation>
    <dataValidation type="list" allowBlank="1" showInputMessage="1" showErrorMessage="1" sqref="X2:X51">
      <formula1>"P0 - Bloquant,P1,P2,Differe"</formula1>
    </dataValidation>
    <dataValidation type="list" allowBlank="1" showInputMessage="1" showErrorMessage="1" sqref="AB2:AB51">
      <formula1>"Oui,Non,En attente"</formula1>
    </dataValidation>
  </dataValidations>
  <pageSetup orientation="landscape" fitToWidth="1" fitToHeight="0" paperSize="9"/>
</worksheet>
</file>

<file path=xl/worksheets/sheet4.xml><?xml version="1.0" encoding="utf-8"?>
<worksheet xmlns="http://schemas.openxmlformats.org/spreadsheetml/2006/main">
  <dimension ref="A1:E83"/>
  <sheetViews>
    <sheetView workbookViewId="0">
      <pane ySplit="1" topLeftCell="A2" activePane="bottomLeft" state="frozen"/>
    </sheetView>
  </sheetViews>
  <sheetFormatPr defaultRowHeight="15"/>
  <cols>
    <col min="1" max="1" width="16" customWidth="1"/>
    <col min="2" max="2" width="14" customWidth="1"/>
    <col min="3" max="3" width="16" customWidth="1"/>
    <col min="4" max="4" width="65" customWidth="1"/>
    <col min="5" max="5" width="22" customWidth="1"/>
  </cols>
  <sheetData>
    <row r="1" ht="22" customHeight="1">
      <c r="A1" t="inlineStr" s="1">
        <is>
          <t xml:space="preserve">N* ticket</t>
        </is>
      </c>
      <c r="B1" t="inlineStr" s="1">
        <is>
          <t xml:space="preserve">Date</t>
        </is>
      </c>
      <c r="C1" t="inlineStr" s="1">
        <is>
          <t xml:space="preserve">Auteur</t>
        </is>
      </c>
      <c r="D1" t="inlineStr" s="1">
        <is>
          <t xml:space="preserve">Message / echange</t>
        </is>
      </c>
      <c r="E1" t="inlineStr" s="1">
        <is>
          <t xml:space="preserve">Nouveau statut (optionnel)</t>
        </is>
      </c>
    </row>
    <row r="2" ht="30" customHeight="1">
      <c r="A2" t="inlineStr" s="7">
        <is>
          <t xml:space="preserve">T-28</t>
        </is>
      </c>
      <c r="B2" t="inlineStr" s="8">
        <is>
          <t xml:space="preserve">15/07/2026</t>
        </is>
      </c>
      <c r="C2" t="inlineStr" s="7">
        <is>
          <t xml:space="preserve">CLEGIS</t>
        </is>
      </c>
      <c r="D2" t="inlineStr" s="7">
        <is>
          <t xml:space="preserve">Signalement initial : 2 onglets affiches sur l'ecran de livraison LRE-Prefabrication.</t>
        </is>
      </c>
      <c r="E2" t="inlineStr" s="7">
        <is>
          <t xml:space="preserve">Nouveau</t>
        </is>
      </c>
    </row>
    <row r="3" ht="30" customHeight="1">
      <c r="A3" t="inlineStr" s="7">
        <is>
          <t xml:space="preserve">T-28</t>
        </is>
      </c>
      <c r="B3" t="inlineStr" s="8">
        <is>
          <t xml:space="preserve">20/07/2026</t>
        </is>
      </c>
      <c r="C3" t="inlineStr" s="7">
        <is>
          <t xml:space="preserve">JBS</t>
        </is>
      </c>
      <c r="D3" t="inlineStr" s="7">
        <is>
          <t xml:space="preserve">Investigation en cours, picking type candidat identifie (Collecter les composants) ; mis en standby faute d'ecran exact confirme - capture d'ecran demandee.</t>
        </is>
      </c>
      <c r="E3" t="inlineStr" s="7">
        <is>
          <t xml:space="preserve">Standby / arbitrage requis</t>
        </is>
      </c>
    </row>
    <row r="4">
      <c r="A4" s="2"/>
      <c r="B4" s="12"/>
      <c r="C4" s="2"/>
      <c r="D4" s="2"/>
      <c r="E4" s="2"/>
    </row>
    <row r="5">
      <c r="A5" s="2"/>
      <c r="B5" s="12"/>
      <c r="C5" s="2"/>
      <c r="D5" s="2"/>
      <c r="E5" s="2"/>
    </row>
    <row r="6">
      <c r="A6" s="2"/>
      <c r="B6" s="12"/>
      <c r="C6" s="2"/>
      <c r="D6" s="2"/>
      <c r="E6" s="2"/>
    </row>
    <row r="7">
      <c r="A7" s="2"/>
      <c r="B7" s="12"/>
      <c r="C7" s="2"/>
      <c r="D7" s="2"/>
      <c r="E7" s="2"/>
    </row>
    <row r="8">
      <c r="A8" s="2"/>
      <c r="B8" s="12"/>
      <c r="C8" s="2"/>
      <c r="D8" s="2"/>
      <c r="E8" s="2"/>
    </row>
    <row r="9">
      <c r="A9" s="2"/>
      <c r="B9" s="12"/>
      <c r="C9" s="2"/>
      <c r="D9" s="2"/>
      <c r="E9" s="2"/>
    </row>
    <row r="10">
      <c r="A10" s="2"/>
      <c r="B10" s="12"/>
      <c r="C10" s="2"/>
      <c r="D10" s="2"/>
      <c r="E10" s="2"/>
    </row>
    <row r="11">
      <c r="A11" s="2"/>
      <c r="B11" s="12"/>
      <c r="C11" s="2"/>
      <c r="D11" s="2"/>
      <c r="E11" s="2"/>
    </row>
    <row r="12">
      <c r="A12" s="2"/>
      <c r="B12" s="12"/>
      <c r="C12" s="2"/>
      <c r="D12" s="2"/>
      <c r="E12" s="2"/>
    </row>
    <row r="13">
      <c r="A13" s="2"/>
      <c r="B13" s="12"/>
      <c r="C13" s="2"/>
      <c r="D13" s="2"/>
      <c r="E13" s="2"/>
    </row>
    <row r="14">
      <c r="A14" s="2"/>
      <c r="B14" s="12"/>
      <c r="C14" s="2"/>
      <c r="D14" s="2"/>
      <c r="E14" s="2"/>
    </row>
    <row r="15">
      <c r="A15" s="2"/>
      <c r="B15" s="12"/>
      <c r="C15" s="2"/>
      <c r="D15" s="2"/>
      <c r="E15" s="2"/>
    </row>
    <row r="16">
      <c r="A16" s="2"/>
      <c r="B16" s="12"/>
      <c r="C16" s="2"/>
      <c r="D16" s="2"/>
      <c r="E16" s="2"/>
    </row>
    <row r="17">
      <c r="A17" s="2"/>
      <c r="B17" s="12"/>
      <c r="C17" s="2"/>
      <c r="D17" s="2"/>
      <c r="E17" s="2"/>
    </row>
    <row r="18">
      <c r="A18" s="2"/>
      <c r="B18" s="12"/>
      <c r="C18" s="2"/>
      <c r="D18" s="2"/>
      <c r="E18" s="2"/>
    </row>
    <row r="19">
      <c r="A19" s="2"/>
      <c r="B19" s="12"/>
      <c r="C19" s="2"/>
      <c r="D19" s="2"/>
      <c r="E19" s="2"/>
    </row>
    <row r="20">
      <c r="A20" s="2"/>
      <c r="B20" s="12"/>
      <c r="C20" s="2"/>
      <c r="D20" s="2"/>
      <c r="E20" s="2"/>
    </row>
    <row r="21">
      <c r="A21" s="2"/>
      <c r="B21" s="12"/>
      <c r="C21" s="2"/>
      <c r="D21" s="2"/>
      <c r="E21" s="2"/>
    </row>
    <row r="22">
      <c r="A22" s="2"/>
      <c r="B22" s="12"/>
      <c r="C22" s="2"/>
      <c r="D22" s="2"/>
      <c r="E22" s="2"/>
    </row>
    <row r="23">
      <c r="A23" s="2"/>
      <c r="B23" s="12"/>
      <c r="C23" s="2"/>
      <c r="D23" s="2"/>
      <c r="E23" s="2"/>
    </row>
    <row r="24">
      <c r="A24" s="2"/>
      <c r="B24" s="12"/>
      <c r="C24" s="2"/>
      <c r="D24" s="2"/>
      <c r="E24" s="2"/>
    </row>
    <row r="25">
      <c r="A25" s="2"/>
      <c r="B25" s="12"/>
      <c r="C25" s="2"/>
      <c r="D25" s="2"/>
      <c r="E25" s="2"/>
    </row>
    <row r="26">
      <c r="A26" s="2"/>
      <c r="B26" s="12"/>
      <c r="C26" s="2"/>
      <c r="D26" s="2"/>
      <c r="E26" s="2"/>
    </row>
    <row r="27">
      <c r="A27" s="2"/>
      <c r="B27" s="12"/>
      <c r="C27" s="2"/>
      <c r="D27" s="2"/>
      <c r="E27" s="2"/>
    </row>
    <row r="28">
      <c r="A28" s="2"/>
      <c r="B28" s="12"/>
      <c r="C28" s="2"/>
      <c r="D28" s="2"/>
      <c r="E28" s="2"/>
    </row>
    <row r="29">
      <c r="A29" s="2"/>
      <c r="B29" s="12"/>
      <c r="C29" s="2"/>
      <c r="D29" s="2"/>
      <c r="E29" s="2"/>
    </row>
    <row r="30">
      <c r="A30" s="2"/>
      <c r="B30" s="12"/>
      <c r="C30" s="2"/>
      <c r="D30" s="2"/>
      <c r="E30" s="2"/>
    </row>
    <row r="31">
      <c r="A31" s="2"/>
      <c r="B31" s="12"/>
      <c r="C31" s="2"/>
      <c r="D31" s="2"/>
      <c r="E31" s="2"/>
    </row>
    <row r="32">
      <c r="A32" s="2"/>
      <c r="B32" s="12"/>
      <c r="C32" s="2"/>
      <c r="D32" s="2"/>
      <c r="E32" s="2"/>
    </row>
    <row r="33">
      <c r="A33" s="2"/>
      <c r="B33" s="12"/>
      <c r="C33" s="2"/>
      <c r="D33" s="2"/>
      <c r="E33" s="2"/>
    </row>
    <row r="34">
      <c r="A34" s="2"/>
      <c r="B34" s="12"/>
      <c r="C34" s="2"/>
      <c r="D34" s="2"/>
      <c r="E34" s="2"/>
    </row>
    <row r="35">
      <c r="A35" s="2"/>
      <c r="B35" s="12"/>
      <c r="C35" s="2"/>
      <c r="D35" s="2"/>
      <c r="E35" s="2"/>
    </row>
    <row r="36">
      <c r="A36" s="2"/>
      <c r="B36" s="12"/>
      <c r="C36" s="2"/>
      <c r="D36" s="2"/>
      <c r="E36" s="2"/>
    </row>
    <row r="37">
      <c r="A37" s="2"/>
      <c r="B37" s="12"/>
      <c r="C37" s="2"/>
      <c r="D37" s="2"/>
      <c r="E37" s="2"/>
    </row>
    <row r="38">
      <c r="A38" s="2"/>
      <c r="B38" s="12"/>
      <c r="C38" s="2"/>
      <c r="D38" s="2"/>
      <c r="E38" s="2"/>
    </row>
    <row r="39">
      <c r="A39" s="2"/>
      <c r="B39" s="12"/>
      <c r="C39" s="2"/>
      <c r="D39" s="2"/>
      <c r="E39" s="2"/>
    </row>
    <row r="40">
      <c r="A40" s="2"/>
      <c r="B40" s="12"/>
      <c r="C40" s="2"/>
      <c r="D40" s="2"/>
      <c r="E40" s="2"/>
    </row>
    <row r="41">
      <c r="A41" s="2"/>
      <c r="B41" s="12"/>
      <c r="C41" s="2"/>
      <c r="D41" s="2"/>
      <c r="E41" s="2"/>
    </row>
    <row r="42">
      <c r="A42" s="2"/>
      <c r="B42" s="12"/>
      <c r="C42" s="2"/>
      <c r="D42" s="2"/>
      <c r="E42" s="2"/>
    </row>
    <row r="43">
      <c r="A43" s="2"/>
      <c r="B43" s="12"/>
      <c r="C43" s="2"/>
      <c r="D43" s="2"/>
      <c r="E43" s="2"/>
    </row>
    <row r="44">
      <c r="A44" s="2"/>
      <c r="B44" s="12"/>
      <c r="C44" s="2"/>
      <c r="D44" s="2"/>
      <c r="E44" s="2"/>
    </row>
    <row r="45">
      <c r="A45" s="2"/>
      <c r="B45" s="12"/>
      <c r="C45" s="2"/>
      <c r="D45" s="2"/>
      <c r="E45" s="2"/>
    </row>
    <row r="46">
      <c r="A46" s="2"/>
      <c r="B46" s="12"/>
      <c r="C46" s="2"/>
      <c r="D46" s="2"/>
      <c r="E46" s="2"/>
    </row>
    <row r="47">
      <c r="A47" s="2"/>
      <c r="B47" s="12"/>
      <c r="C47" s="2"/>
      <c r="D47" s="2"/>
      <c r="E47" s="2"/>
    </row>
    <row r="48">
      <c r="A48" s="2"/>
      <c r="B48" s="12"/>
      <c r="C48" s="2"/>
      <c r="D48" s="2"/>
      <c r="E48" s="2"/>
    </row>
    <row r="49">
      <c r="A49" s="2"/>
      <c r="B49" s="12"/>
      <c r="C49" s="2"/>
      <c r="D49" s="2"/>
      <c r="E49" s="2"/>
    </row>
    <row r="50">
      <c r="A50" s="2"/>
      <c r="B50" s="12"/>
      <c r="C50" s="2"/>
      <c r="D50" s="2"/>
      <c r="E50" s="2"/>
    </row>
    <row r="51">
      <c r="A51" s="2"/>
      <c r="B51" s="12"/>
      <c r="C51" s="2"/>
      <c r="D51" s="2"/>
      <c r="E51" s="2"/>
    </row>
    <row r="52">
      <c r="A52" s="2"/>
      <c r="B52" s="12"/>
      <c r="C52" s="2"/>
      <c r="D52" s="2"/>
      <c r="E52" s="2"/>
    </row>
    <row r="53">
      <c r="A53" s="2"/>
      <c r="B53" s="12"/>
      <c r="C53" s="2"/>
      <c r="D53" s="2"/>
      <c r="E53" s="2"/>
    </row>
    <row r="54">
      <c r="A54" s="2"/>
      <c r="B54" s="12"/>
      <c r="C54" s="2"/>
      <c r="D54" s="2"/>
      <c r="E54" s="2"/>
    </row>
    <row r="55">
      <c r="A55" s="2"/>
      <c r="B55" s="12"/>
      <c r="C55" s="2"/>
      <c r="D55" s="2"/>
      <c r="E55" s="2"/>
    </row>
    <row r="56">
      <c r="A56" s="2"/>
      <c r="B56" s="12"/>
      <c r="C56" s="2"/>
      <c r="D56" s="2"/>
      <c r="E56" s="2"/>
    </row>
    <row r="57">
      <c r="A57" s="2"/>
      <c r="B57" s="12"/>
      <c r="C57" s="2"/>
      <c r="D57" s="2"/>
      <c r="E57" s="2"/>
    </row>
    <row r="58">
      <c r="A58" s="2"/>
      <c r="B58" s="12"/>
      <c r="C58" s="2"/>
      <c r="D58" s="2"/>
      <c r="E58" s="2"/>
    </row>
    <row r="59">
      <c r="A59" s="2"/>
      <c r="B59" s="12"/>
      <c r="C59" s="2"/>
      <c r="D59" s="2"/>
      <c r="E59" s="2"/>
    </row>
    <row r="60">
      <c r="A60" s="2"/>
      <c r="B60" s="12"/>
      <c r="C60" s="2"/>
      <c r="D60" s="2"/>
      <c r="E60" s="2"/>
    </row>
    <row r="61">
      <c r="A61" s="2"/>
      <c r="B61" s="12"/>
      <c r="C61" s="2"/>
      <c r="D61" s="2"/>
      <c r="E61" s="2"/>
    </row>
    <row r="62">
      <c r="A62" s="2"/>
      <c r="B62" s="12"/>
      <c r="C62" s="2"/>
      <c r="D62" s="2"/>
      <c r="E62" s="2"/>
    </row>
    <row r="63">
      <c r="A63" s="2"/>
      <c r="B63" s="12"/>
      <c r="C63" s="2"/>
      <c r="D63" s="2"/>
      <c r="E63" s="2"/>
    </row>
    <row r="64">
      <c r="A64" s="2"/>
      <c r="B64" s="12"/>
      <c r="C64" s="2"/>
      <c r="D64" s="2"/>
      <c r="E64" s="2"/>
    </row>
    <row r="65">
      <c r="A65" s="2"/>
      <c r="B65" s="12"/>
      <c r="C65" s="2"/>
      <c r="D65" s="2"/>
      <c r="E65" s="2"/>
    </row>
    <row r="66">
      <c r="A66" s="2"/>
      <c r="B66" s="12"/>
      <c r="C66" s="2"/>
      <c r="D66" s="2"/>
      <c r="E66" s="2"/>
    </row>
    <row r="67">
      <c r="A67" s="2"/>
      <c r="B67" s="12"/>
      <c r="C67" s="2"/>
      <c r="D67" s="2"/>
      <c r="E67" s="2"/>
    </row>
    <row r="68">
      <c r="A68" s="2"/>
      <c r="B68" s="12"/>
      <c r="C68" s="2"/>
      <c r="D68" s="2"/>
      <c r="E68" s="2"/>
    </row>
    <row r="69">
      <c r="A69" s="2"/>
      <c r="B69" s="12"/>
      <c r="C69" s="2"/>
      <c r="D69" s="2"/>
      <c r="E69" s="2"/>
    </row>
    <row r="70">
      <c r="A70" s="2"/>
      <c r="B70" s="12"/>
      <c r="C70" s="2"/>
      <c r="D70" s="2"/>
      <c r="E70" s="2"/>
    </row>
    <row r="71">
      <c r="A71" s="2"/>
      <c r="B71" s="12"/>
      <c r="C71" s="2"/>
      <c r="D71" s="2"/>
      <c r="E71" s="2"/>
    </row>
    <row r="72">
      <c r="A72" s="2"/>
      <c r="B72" s="12"/>
      <c r="C72" s="2"/>
      <c r="D72" s="2"/>
      <c r="E72" s="2"/>
    </row>
    <row r="73">
      <c r="A73" s="2"/>
      <c r="B73" s="12"/>
      <c r="C73" s="2"/>
      <c r="D73" s="2"/>
      <c r="E73" s="2"/>
    </row>
    <row r="74">
      <c r="A74" s="2"/>
      <c r="B74" s="12"/>
      <c r="C74" s="2"/>
      <c r="D74" s="2"/>
      <c r="E74" s="2"/>
    </row>
    <row r="75">
      <c r="A75" s="2"/>
      <c r="B75" s="12"/>
      <c r="C75" s="2"/>
      <c r="D75" s="2"/>
      <c r="E75" s="2"/>
    </row>
    <row r="76">
      <c r="A76" s="2"/>
      <c r="B76" s="12"/>
      <c r="C76" s="2"/>
      <c r="D76" s="2"/>
      <c r="E76" s="2"/>
    </row>
    <row r="77">
      <c r="A77" s="2"/>
      <c r="B77" s="12"/>
      <c r="C77" s="2"/>
      <c r="D77" s="2"/>
      <c r="E77" s="2"/>
    </row>
    <row r="78">
      <c r="A78" s="2"/>
      <c r="B78" s="12"/>
      <c r="C78" s="2"/>
      <c r="D78" s="2"/>
      <c r="E78" s="2"/>
    </row>
    <row r="79">
      <c r="A79" s="2"/>
      <c r="B79" s="12"/>
      <c r="C79" s="2"/>
      <c r="D79" s="2"/>
      <c r="E79" s="2"/>
    </row>
    <row r="80">
      <c r="A80" s="2"/>
      <c r="B80" s="12"/>
      <c r="C80" s="2"/>
      <c r="D80" s="2"/>
      <c r="E80" s="2"/>
    </row>
    <row r="81">
      <c r="A81" s="2"/>
      <c r="B81" s="12"/>
      <c r="C81" s="2"/>
      <c r="D81" s="2"/>
      <c r="E81" s="2"/>
    </row>
    <row r="82">
      <c r="A82" s="2"/>
      <c r="B82" s="12"/>
      <c r="C82" s="2"/>
      <c r="D82" s="2"/>
      <c r="E82" s="2"/>
    </row>
    <row r="83">
      <c r="A83" s="2"/>
      <c r="B83" s="12"/>
      <c r="C83" s="2"/>
      <c r="D83" s="2"/>
      <c r="E83" s="2"/>
    </row>
  </sheetData>
  <autoFilter ref="A1:E1"/>
  <dataValidations count="1">
    <dataValidation type="list" allowBlank="1" showInputMessage="1" showErrorMessage="1" sqref="E2:E83">
      <formula1>"Nouveau,En cours d'analyse,Bug confirme,Corrige - a valider,Ferme - pas un bug,Standby / arbitrage requis,Transfere a un tiers"</formula1>
    </dataValidation>
  </dataValidations>
</worksheet>
</file>